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ellyy\Downloads\"/>
    </mc:Choice>
  </mc:AlternateContent>
  <xr:revisionPtr revIDLastSave="0" documentId="13_ncr:1_{99F4273A-754A-4A13-9E14-EE08CC500252}" xr6:coauthVersionLast="47" xr6:coauthVersionMax="47" xr10:uidLastSave="{00000000-0000-0000-0000-000000000000}"/>
  <bookViews>
    <workbookView xWindow="0" yWindow="360" windowWidth="23256" windowHeight="12456" xr2:uid="{00000000-000D-0000-FFFF-FFFF00000000}"/>
  </bookViews>
  <sheets>
    <sheet name="Paper_1" sheetId="5" r:id="rId1"/>
    <sheet name="Reference" sheetId="6" r:id="rId2"/>
    <sheet name="Figure Paper 1" sheetId="7" r:id="rId3"/>
  </sheets>
  <definedNames>
    <definedName name="Z_025A7AC2_695F_47D3_9E57_A5E831DF09B4_.wvu.FilterData" localSheetId="0" hidden="1">Paper_1!$C$1:$C$845</definedName>
    <definedName name="Z_04A97E93_A9DC_4C1B_B4C3_A558315B82FE_.wvu.FilterData" localSheetId="0" hidden="1">Paper_1!$C$1:$C$845</definedName>
    <definedName name="Z_0590267C_CCEC_42A0_A715_2D949FCD4392_.wvu.FilterData" localSheetId="0" hidden="1">Paper_1!$C$1:$C$845</definedName>
    <definedName name="Z_0A5BFFCF_226F_4CA4_A868_8C1E591DF9E5_.wvu.FilterData" localSheetId="0" hidden="1">Paper_1!$A$1:$W$224</definedName>
    <definedName name="Z_0B0F2042_CC56_4C54_98F8_4FFFD2D3810B_.wvu.FilterData" localSheetId="0" hidden="1">Paper_1!$C$1:$C$845</definedName>
    <definedName name="Z_0F767810_6CFE_4948_89FC_5562DF1E5DA6_.wvu.FilterData" localSheetId="0" hidden="1">Paper_1!$C$1:$C$845</definedName>
    <definedName name="Z_1488BABD_90C7_4705_99AA_2D3CAD858875_.wvu.FilterData" localSheetId="0" hidden="1">Paper_1!$C$1:$C$845</definedName>
    <definedName name="Z_17B9FE8B_3D16_4C01_B473_D2CF8E545FFB_.wvu.FilterData" localSheetId="0" hidden="1">Paper_1!$C$1:$C$845</definedName>
    <definedName name="Z_1F0D97C5_E850_48A4_92AC_7A4616B60FDA_.wvu.FilterData" localSheetId="0" hidden="1">Paper_1!$C$1:$C$845</definedName>
    <definedName name="Z_222E66B3_9E17_49DF_B581_D0873A645027_.wvu.FilterData" localSheetId="0" hidden="1">Paper_1!$B$1:$B$845</definedName>
    <definedName name="Z_313E5414_8FB1_4B4C_9831_EA4BA4469F27_.wvu.FilterData" localSheetId="0" hidden="1">Paper_1!$A$1:$W$845</definedName>
    <definedName name="Z_372D1D1E_142C_4194_A0DD_689D94A246DE_.wvu.FilterData" localSheetId="0" hidden="1">Paper_1!$C$1:$C$845</definedName>
    <definedName name="Z_37D615BE_7420_42DD_BAE2_7F51DCED6BAB_.wvu.FilterData" localSheetId="0" hidden="1">Paper_1!$C$1:$C$845</definedName>
    <definedName name="Z_38F00476_24FD_4EA2_8436_2D76EBD0A8DF_.wvu.FilterData" localSheetId="0" hidden="1">Paper_1!$A$1:$W$224</definedName>
    <definedName name="Z_3FB5F56C_89DE_4C32_869D_E6525536F318_.wvu.FilterData" localSheetId="0" hidden="1">Paper_1!$C$1:$C$845</definedName>
    <definedName name="Z_4398FFA0_D69F_4DDE_BFBE_0EADA06C4A16_.wvu.FilterData" localSheetId="0" hidden="1">Paper_1!$C$1:$C$845</definedName>
    <definedName name="Z_48B750AB_A6FE_419F_BF71_04BE9EF337DB_.wvu.FilterData" localSheetId="0" hidden="1">Paper_1!$B$1:$B$845</definedName>
    <definedName name="Z_4A067BC4_D2E6_4FB2_8678_980D99240757_.wvu.FilterData" localSheetId="0" hidden="1">Paper_1!$A$1:$W$845</definedName>
    <definedName name="Z_4C1E1C7D_57E0_4A0D_8D2E_3FE0B7ADDDD7_.wvu.FilterData" localSheetId="0" hidden="1">Paper_1!$A$1:$W$224</definedName>
    <definedName name="Z_4D2DFF6D_5952_4D62_A59C_8D85AA173D33_.wvu.FilterData" localSheetId="0" hidden="1">Paper_1!$A$1:$W$224</definedName>
    <definedName name="Z_4E214EB7_A561_4E22_8884_0514B86E0E63_.wvu.FilterData" localSheetId="0" hidden="1">Paper_1!$A$1:$W$845</definedName>
    <definedName name="Z_4EAD3F2D_5E45_4066_8D34_6297B3E3BE1E_.wvu.FilterData" localSheetId="0" hidden="1">Paper_1!$C$1:$C$845</definedName>
    <definedName name="Z_4FF1465E_A06C_449A_8181_99398A9708CB_.wvu.FilterData" localSheetId="0" hidden="1">Paper_1!$C$1:$C$845</definedName>
    <definedName name="Z_56FFFF34_C789_45A9_B318_6B002FD92CEC_.wvu.FilterData" localSheetId="0" hidden="1">Paper_1!$C$1:$C$845</definedName>
    <definedName name="Z_593818F9_56E2_47F4_A6DF_0455D4101279_.wvu.FilterData" localSheetId="0" hidden="1">Paper_1!$C$1:$C$845</definedName>
    <definedName name="Z_5B38700D_B6C9_4546_A6C1_B210AD8F72FB_.wvu.FilterData" localSheetId="0" hidden="1">Paper_1!$C$1:$C$845</definedName>
    <definedName name="Z_5ECA9C19_17C2_4B53_91E9_0C17F8CA4217_.wvu.FilterData" localSheetId="0" hidden="1">Paper_1!$C$1:$C$845</definedName>
    <definedName name="Z_603FDBA1_D4FE_4AB7_9531_6364C782BA8D_.wvu.FilterData" localSheetId="0" hidden="1">Paper_1!$C$1:$C$845</definedName>
    <definedName name="Z_62BEFFAC_61AB_45E5_89EF_3D708EC59F37_.wvu.FilterData" localSheetId="0" hidden="1">Paper_1!$C$1:$C$845</definedName>
    <definedName name="Z_64501680_B516_41FC_AA40_5944C37CD813_.wvu.FilterData" localSheetId="0" hidden="1">Paper_1!$C$1:$C$845</definedName>
    <definedName name="Z_67631504_4C33_4648_9C4A_A62C3D85A17A_.wvu.FilterData" localSheetId="0" hidden="1">Paper_1!$A$1:$W$224</definedName>
    <definedName name="Z_6C878C6E_462B_4321_B1C1_92E4316CB75E_.wvu.FilterData" localSheetId="0" hidden="1">Paper_1!$C$1:$C$845</definedName>
    <definedName name="Z_6EC1CD78_F8A4_4929_BE58_AE6FD52EF834_.wvu.FilterData" localSheetId="0" hidden="1">Paper_1!$A$1:$W$224</definedName>
    <definedName name="Z_75DE4009_0809_4060_88CF_2E286DAF5F04_.wvu.FilterData" localSheetId="0" hidden="1">Paper_1!$A$1:$W$224</definedName>
    <definedName name="Z_760662CC_CB64_421D_9CB8_BFDB7F453921_.wvu.FilterData" localSheetId="0" hidden="1">Paper_1!$C$1:$C$845</definedName>
    <definedName name="Z_76DE560E_37F3_4170_9F2C_E5BAC227BC31_.wvu.FilterData" localSheetId="0" hidden="1">Paper_1!$A$1:$W$224</definedName>
    <definedName name="Z_7B124DA9_48B0_40B6_9712_4A03AFFC8E57_.wvu.FilterData" localSheetId="0" hidden="1">Paper_1!$C$1:$C$845</definedName>
    <definedName name="Z_84B80BEF_2750_4CC2_B01B_F580FFFD29AB_.wvu.FilterData" localSheetId="0" hidden="1">Paper_1!$C$1:$C$845</definedName>
    <definedName name="Z_8636EF91_5B33_406F_8DA3_A150D471CD61_.wvu.FilterData" localSheetId="0" hidden="1">Paper_1!$A$1:$W$224</definedName>
    <definedName name="Z_8F77FD58_8227_4A26_B0F7_8D50011D5C21_.wvu.FilterData" localSheetId="0" hidden="1">Paper_1!$A$1:$W$224</definedName>
    <definedName name="Z_90AA115C_D4C0_406A_800D_7A62E7944F42_.wvu.FilterData" localSheetId="0" hidden="1">Paper_1!$C$1:$C$845</definedName>
    <definedName name="Z_91C26420_5839_44E0_A41A_CFD93A90A732_.wvu.FilterData" localSheetId="0" hidden="1">Paper_1!$C$1:$C$845</definedName>
    <definedName name="Z_9289254D_A94E_49FC_AD9F_CD028511AD4E_.wvu.FilterData" localSheetId="0" hidden="1">Paper_1!$A$1:$W$224</definedName>
    <definedName name="Z_997057DB_BB51_462C_B40D_52256B7B0B14_.wvu.FilterData" localSheetId="0" hidden="1">Paper_1!$C$1:$C$845</definedName>
    <definedName name="Z_9AA74D9C_3162_4459_AE12_2528934FDDC6_.wvu.FilterData" localSheetId="0" hidden="1">Paper_1!$Y$1:$AE$224</definedName>
    <definedName name="Z_9D64603E_BCCA_4745_AD55_C8F1E2CC7DF6_.wvu.FilterData" localSheetId="0" hidden="1">Paper_1!$B$1:$B$845</definedName>
    <definedName name="Z_9F2E8597_23D6_4579_A79C_C9B4E6C0E833_.wvu.FilterData" localSheetId="0" hidden="1">Paper_1!$C$1:$C$845</definedName>
    <definedName name="Z_A4CBE3E8_8BD0_4873_BEFE_72F2355A6C60_.wvu.FilterData" localSheetId="0" hidden="1">Paper_1!$C$1:$C$845</definedName>
    <definedName name="Z_A6471E58_1A21_4644_B7AD_51CB66E2DA25_.wvu.FilterData" localSheetId="0" hidden="1">Paper_1!$A$1:$W$224</definedName>
    <definedName name="Z_A69627FA_D41F_4A11_9932_FD073A78D696_.wvu.FilterData" localSheetId="0" hidden="1">Paper_1!$C$1:$C$845</definedName>
    <definedName name="Z_A8C0CDB0_7B34_4059_8893_504201EB1479_.wvu.FilterData" localSheetId="0" hidden="1">Paper_1!$B$1:$B$845</definedName>
    <definedName name="Z_AEF95CDA_7E45_4F86_9841_CD61BFA8E623_.wvu.FilterData" localSheetId="0" hidden="1">Paper_1!$A$1:$W$224</definedName>
    <definedName name="Z_B0349FB7_F0B2_4360_BF68_D92EE07C2670_.wvu.FilterData" localSheetId="0" hidden="1">Paper_1!$A$1:$W$194</definedName>
    <definedName name="Z_B1147BCB_CB95_4E6E_8179_7D58F01161D2_.wvu.FilterData" localSheetId="0" hidden="1">Paper_1!$C$1:$C$845</definedName>
    <definedName name="Z_C2346DAF_3C6B_4EC4_ADAD_017E8199E43A_.wvu.FilterData" localSheetId="0" hidden="1">Paper_1!$C$1:$C$845</definedName>
    <definedName name="Z_CAF0EA69_01F3_4F11_887F_99EA6AEAB662_.wvu.FilterData" localSheetId="0" hidden="1">Paper_1!$A$1:$W$224</definedName>
    <definedName name="Z_CC70E333_17CF_4338_82E0_AD72DF37C24E_.wvu.FilterData" localSheetId="0" hidden="1">Paper_1!$C$1:$C$845</definedName>
    <definedName name="Z_CEE893ED_1E8A_47C2_8459_948C3B1D964B_.wvu.FilterData" localSheetId="0" hidden="1">Paper_1!$C$1:$C$845</definedName>
    <definedName name="Z_D074A271_151C_4CE3_B0D9_35E92897068B_.wvu.FilterData" localSheetId="0" hidden="1">Paper_1!$C$1:$C$845</definedName>
    <definedName name="Z_D430B3E1_E60C_4671_8FA8_1D383D225278_.wvu.FilterData" localSheetId="0" hidden="1">Paper_1!$C$1:$C$845</definedName>
    <definedName name="Z_D4C268AC_0785_4E67_A6AC_F9ABF6704EE3_.wvu.FilterData" localSheetId="0" hidden="1">Paper_1!#REF!</definedName>
    <definedName name="Z_D8D4B69D_A22D_4F29_86F0_152D8CF50CD4_.wvu.FilterData" localSheetId="0" hidden="1">Paper_1!$D$1:$D$845</definedName>
    <definedName name="Z_DA392475_1661_4B54_8BFF_094FFA109104_.wvu.FilterData" localSheetId="0" hidden="1">Paper_1!$C$1:$C$845</definedName>
    <definedName name="Z_DBD08A63_DAD5_48CF_80CB_5B7B05966D15_.wvu.FilterData" localSheetId="0" hidden="1">Paper_1!$C$1:$C$845</definedName>
    <definedName name="Z_DC1A5D44_85B8_498A_96BF_E0FFE02DC92F_.wvu.FilterData" localSheetId="0" hidden="1">Paper_1!$C$1:$C$845</definedName>
    <definedName name="Z_DE04874D_EF80_420E_A982_41623F990B46_.wvu.FilterData" localSheetId="0" hidden="1">Paper_1!$C$1:$C$845</definedName>
    <definedName name="Z_E1AA0A4B_6776_4296_B342_5D8947C93E5F_.wvu.FilterData" localSheetId="0" hidden="1">Paper_1!$A$1:$W$224</definedName>
    <definedName name="Z_E2A59C1E_06CD_47F7_A24D_FE09CD9EF22C_.wvu.FilterData" localSheetId="0" hidden="1">Paper_1!$A$1:$W$845</definedName>
    <definedName name="Z_E4FDEB58_F6D4_4F20_8021_4A7F37853C62_.wvu.FilterData" localSheetId="0" hidden="1">Paper_1!$C$1:$C$845</definedName>
    <definedName name="Z_E5FF392C_5593_4D9B_8773_BA4230B65DD9_.wvu.FilterData" localSheetId="0" hidden="1">Paper_1!$A$1:$W$845</definedName>
    <definedName name="Z_E7212AA7_B944_427B_9823_DB5F24223252_.wvu.FilterData" localSheetId="0" hidden="1">Paper_1!$C$1:$C$845</definedName>
    <definedName name="Z_EB6C5EC7_28BB_497C_8E72_B7C1296A946A_.wvu.FilterData" localSheetId="0" hidden="1">Paper_1!$C$1:$C$845</definedName>
    <definedName name="Z_EB9B1935_DCA7_484B_92DF_4C387FD8D288_.wvu.FilterData" localSheetId="0" hidden="1">Paper_1!$A$1:$W$224</definedName>
    <definedName name="Z_F0409DDC_EEB4_40E6_94FD_C6B766E4239D_.wvu.FilterData" localSheetId="0" hidden="1">Paper_1!$C$1:$C$845</definedName>
    <definedName name="Z_F8B02C56_7360_44D2_9782_00BD52FAFCA8_.wvu.FilterData" localSheetId="0" hidden="1">Paper_1!$A$1:$W$224</definedName>
    <definedName name="Z_FC2CB815_B2E0_4A25_A9C8_10AFFC5C8B1B_.wvu.FilterData" localSheetId="0" hidden="1">Paper_1!$C$1:$C$845</definedName>
    <definedName name="Z_FF987B10_FB23_4B06_938D_0CD5FF652E74_.wvu.FilterData" localSheetId="0" hidden="1">Paper_1!$C$1:$C$845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51" i="5" l="1"/>
  <c r="AA51" i="5"/>
  <c r="Z51" i="5"/>
  <c r="Y51" i="5"/>
  <c r="AC51" i="5" s="1"/>
  <c r="Q51" i="5"/>
  <c r="AD51" i="5" s="1"/>
  <c r="AB50" i="5"/>
  <c r="AA50" i="5"/>
  <c r="Z50" i="5"/>
  <c r="Y50" i="5"/>
  <c r="AC50" i="5" s="1"/>
  <c r="Q50" i="5"/>
  <c r="AD50" i="5" s="1"/>
  <c r="AB49" i="5"/>
  <c r="AA49" i="5"/>
  <c r="Z49" i="5"/>
  <c r="Y49" i="5"/>
  <c r="AC49" i="5" s="1"/>
  <c r="Q49" i="5"/>
  <c r="AD49" i="5" s="1"/>
  <c r="AB48" i="5"/>
  <c r="AA48" i="5"/>
  <c r="Z48" i="5"/>
  <c r="Y48" i="5"/>
  <c r="AC48" i="5" s="1"/>
  <c r="Q48" i="5"/>
  <c r="AD48" i="5" s="1"/>
  <c r="AB47" i="5"/>
  <c r="AA47" i="5"/>
  <c r="Z47" i="5"/>
  <c r="Y47" i="5"/>
  <c r="AC47" i="5" s="1"/>
  <c r="Q47" i="5"/>
  <c r="AD47" i="5" s="1"/>
  <c r="AB46" i="5"/>
  <c r="AA46" i="5"/>
  <c r="Z46" i="5"/>
  <c r="Y46" i="5"/>
  <c r="AC46" i="5" s="1"/>
  <c r="Q46" i="5"/>
  <c r="AD46" i="5" s="1"/>
  <c r="AB45" i="5"/>
  <c r="AA45" i="5"/>
  <c r="Z45" i="5"/>
  <c r="Y45" i="5"/>
  <c r="AC45" i="5" s="1"/>
  <c r="Q45" i="5"/>
  <c r="AD45" i="5" s="1"/>
  <c r="AB44" i="5"/>
  <c r="AA44" i="5"/>
  <c r="Z44" i="5"/>
  <c r="Y44" i="5"/>
  <c r="AC44" i="5" s="1"/>
  <c r="Q44" i="5"/>
  <c r="AD44" i="5" s="1"/>
  <c r="AB43" i="5"/>
  <c r="AA43" i="5"/>
  <c r="Z43" i="5"/>
  <c r="Y43" i="5"/>
  <c r="AC43" i="5" s="1"/>
  <c r="Q43" i="5"/>
  <c r="AD43" i="5" s="1"/>
  <c r="AB42" i="5"/>
  <c r="AA42" i="5"/>
  <c r="Z42" i="5"/>
  <c r="Y42" i="5"/>
  <c r="AC42" i="5" s="1"/>
  <c r="Q42" i="5"/>
  <c r="AD42" i="5" s="1"/>
  <c r="AB41" i="5"/>
  <c r="AA41" i="5"/>
  <c r="Z41" i="5"/>
  <c r="Y41" i="5"/>
  <c r="AC41" i="5" s="1"/>
  <c r="Q41" i="5"/>
  <c r="AD41" i="5" s="1"/>
  <c r="AB40" i="5"/>
  <c r="AA40" i="5"/>
  <c r="Z40" i="5"/>
  <c r="Y40" i="5"/>
  <c r="AC40" i="5" s="1"/>
  <c r="Q40" i="5"/>
  <c r="AD40" i="5" s="1"/>
  <c r="AB39" i="5"/>
  <c r="AA39" i="5"/>
  <c r="Z39" i="5"/>
  <c r="Y39" i="5"/>
  <c r="AC39" i="5" s="1"/>
  <c r="Q39" i="5"/>
  <c r="AD39" i="5" s="1"/>
  <c r="AB38" i="5"/>
  <c r="AA38" i="5"/>
  <c r="Z38" i="5"/>
  <c r="Y38" i="5"/>
  <c r="AC38" i="5" s="1"/>
  <c r="Q38" i="5"/>
  <c r="AD38" i="5" s="1"/>
  <c r="AD37" i="5"/>
  <c r="AC37" i="5"/>
  <c r="AB37" i="5"/>
  <c r="AA37" i="5"/>
  <c r="Z37" i="5"/>
  <c r="Y37" i="5"/>
  <c r="Q37" i="5"/>
  <c r="AB36" i="5"/>
  <c r="AA36" i="5"/>
  <c r="Z36" i="5"/>
  <c r="Y36" i="5"/>
  <c r="AC36" i="5" s="1"/>
  <c r="Q36" i="5"/>
  <c r="AD36" i="5" s="1"/>
  <c r="AB35" i="5"/>
  <c r="AA35" i="5"/>
  <c r="Z35" i="5"/>
  <c r="Y35" i="5"/>
  <c r="AC35" i="5" s="1"/>
  <c r="Q35" i="5"/>
  <c r="AD35" i="5" s="1"/>
  <c r="AB34" i="5"/>
  <c r="AA34" i="5"/>
  <c r="Z34" i="5"/>
  <c r="Y34" i="5"/>
  <c r="AC34" i="5" s="1"/>
  <c r="Q34" i="5"/>
  <c r="AD34" i="5" s="1"/>
  <c r="AB33" i="5"/>
  <c r="AA33" i="5"/>
  <c r="Z33" i="5"/>
  <c r="Y33" i="5"/>
  <c r="AC33" i="5" s="1"/>
  <c r="Q33" i="5"/>
  <c r="AD33" i="5" s="1"/>
  <c r="AB32" i="5"/>
  <c r="AA32" i="5"/>
  <c r="Z32" i="5"/>
  <c r="Y32" i="5"/>
  <c r="AC32" i="5" s="1"/>
  <c r="Q32" i="5"/>
  <c r="AD32" i="5" s="1"/>
  <c r="AB31" i="5"/>
  <c r="AA31" i="5"/>
  <c r="Z31" i="5"/>
  <c r="Y31" i="5"/>
  <c r="AC31" i="5" s="1"/>
  <c r="Q31" i="5"/>
  <c r="AD31" i="5" s="1"/>
  <c r="AB30" i="5"/>
  <c r="AA30" i="5"/>
  <c r="Z30" i="5"/>
  <c r="Y30" i="5"/>
  <c r="AC30" i="5" s="1"/>
  <c r="Q30" i="5"/>
  <c r="AD30" i="5" s="1"/>
  <c r="AB29" i="5"/>
  <c r="AA29" i="5"/>
  <c r="Z29" i="5"/>
  <c r="Y29" i="5"/>
  <c r="AC29" i="5" s="1"/>
  <c r="Q29" i="5"/>
  <c r="AD29" i="5" s="1"/>
  <c r="AB28" i="5"/>
  <c r="AA28" i="5"/>
  <c r="Z28" i="5"/>
  <c r="Y28" i="5"/>
  <c r="AC28" i="5" s="1"/>
  <c r="Q28" i="5"/>
  <c r="AD28" i="5" s="1"/>
  <c r="AB27" i="5"/>
  <c r="AA27" i="5"/>
  <c r="Z27" i="5"/>
  <c r="Y27" i="5"/>
  <c r="AC27" i="5" s="1"/>
  <c r="Q27" i="5"/>
  <c r="AD27" i="5" s="1"/>
  <c r="AB26" i="5"/>
  <c r="AA26" i="5"/>
  <c r="Z26" i="5"/>
  <c r="Y26" i="5"/>
  <c r="AC26" i="5" s="1"/>
  <c r="Q26" i="5"/>
  <c r="AD26" i="5" s="1"/>
  <c r="AB25" i="5"/>
  <c r="AA25" i="5"/>
  <c r="Z25" i="5"/>
  <c r="Y25" i="5"/>
  <c r="AC25" i="5" s="1"/>
  <c r="Q25" i="5"/>
  <c r="AD25" i="5" s="1"/>
  <c r="AB24" i="5"/>
  <c r="AA24" i="5"/>
  <c r="Z24" i="5"/>
  <c r="Y24" i="5"/>
  <c r="AC24" i="5" s="1"/>
  <c r="Q24" i="5"/>
  <c r="AD24" i="5" s="1"/>
  <c r="AB23" i="5"/>
  <c r="AA23" i="5"/>
  <c r="Z23" i="5"/>
  <c r="Y23" i="5"/>
  <c r="AC23" i="5" s="1"/>
  <c r="Q23" i="5"/>
  <c r="AD23" i="5" s="1"/>
  <c r="AB22" i="5"/>
  <c r="AA22" i="5"/>
  <c r="Z22" i="5"/>
  <c r="Y22" i="5"/>
  <c r="AC22" i="5" s="1"/>
  <c r="Q22" i="5"/>
  <c r="AD22" i="5" s="1"/>
  <c r="AB21" i="5"/>
  <c r="AA21" i="5"/>
  <c r="Z21" i="5"/>
  <c r="Y21" i="5"/>
  <c r="AC21" i="5" s="1"/>
  <c r="Q21" i="5"/>
  <c r="AD21" i="5" s="1"/>
  <c r="AB20" i="5"/>
  <c r="AA20" i="5"/>
  <c r="Z20" i="5"/>
  <c r="Y20" i="5"/>
  <c r="AC20" i="5" s="1"/>
  <c r="Q20" i="5"/>
  <c r="AD20" i="5" s="1"/>
  <c r="AB19" i="5"/>
  <c r="AA19" i="5"/>
  <c r="Z19" i="5"/>
  <c r="Y19" i="5"/>
  <c r="AC19" i="5" s="1"/>
  <c r="Q19" i="5"/>
  <c r="AD19" i="5" s="1"/>
  <c r="AB18" i="5"/>
  <c r="AA18" i="5"/>
  <c r="Z18" i="5"/>
  <c r="Y18" i="5"/>
  <c r="AC18" i="5" s="1"/>
  <c r="Q18" i="5"/>
  <c r="AD18" i="5" s="1"/>
  <c r="AB17" i="5"/>
  <c r="AA17" i="5"/>
  <c r="Z17" i="5"/>
  <c r="Y17" i="5"/>
  <c r="AC17" i="5" s="1"/>
  <c r="Q17" i="5"/>
  <c r="AD17" i="5" s="1"/>
  <c r="AB16" i="5"/>
  <c r="AA16" i="5"/>
  <c r="Z16" i="5"/>
  <c r="Y16" i="5"/>
  <c r="AC16" i="5" s="1"/>
  <c r="Q16" i="5"/>
  <c r="AD16" i="5" s="1"/>
  <c r="AB15" i="5"/>
  <c r="AA15" i="5"/>
  <c r="Z15" i="5"/>
  <c r="Y15" i="5"/>
  <c r="AC15" i="5" s="1"/>
  <c r="Q15" i="5"/>
  <c r="AD15" i="5" s="1"/>
  <c r="AB14" i="5"/>
  <c r="AA14" i="5"/>
  <c r="Z14" i="5"/>
  <c r="Y14" i="5"/>
  <c r="AC14" i="5" s="1"/>
  <c r="Q14" i="5"/>
  <c r="AD14" i="5" s="1"/>
  <c r="AB13" i="5"/>
  <c r="AA13" i="5"/>
  <c r="Z13" i="5"/>
  <c r="Y13" i="5"/>
  <c r="AC13" i="5" s="1"/>
  <c r="Q13" i="5"/>
  <c r="AD13" i="5" s="1"/>
  <c r="AB12" i="5"/>
  <c r="AA12" i="5"/>
  <c r="Z12" i="5"/>
  <c r="Y12" i="5"/>
  <c r="AC12" i="5" s="1"/>
  <c r="Q12" i="5"/>
  <c r="AD12" i="5" s="1"/>
  <c r="AB11" i="5"/>
  <c r="AA11" i="5"/>
  <c r="Z11" i="5"/>
  <c r="Y11" i="5"/>
  <c r="AC11" i="5" s="1"/>
  <c r="Q11" i="5"/>
  <c r="AD11" i="5" s="1"/>
  <c r="AB10" i="5"/>
  <c r="AA10" i="5"/>
  <c r="Z10" i="5"/>
  <c r="Y10" i="5"/>
  <c r="AC10" i="5" s="1"/>
  <c r="Q10" i="5"/>
  <c r="AD10" i="5" s="1"/>
  <c r="AB9" i="5"/>
  <c r="AA9" i="5"/>
  <c r="Z9" i="5"/>
  <c r="Y9" i="5"/>
  <c r="AC9" i="5" s="1"/>
  <c r="Q9" i="5"/>
  <c r="AD9" i="5" s="1"/>
  <c r="AB8" i="5"/>
  <c r="AA8" i="5"/>
  <c r="Z8" i="5"/>
  <c r="Y8" i="5"/>
  <c r="AC8" i="5" s="1"/>
  <c r="Q8" i="5"/>
  <c r="AD8" i="5" s="1"/>
  <c r="AB7" i="5"/>
  <c r="AA7" i="5"/>
  <c r="Z7" i="5"/>
  <c r="Y7" i="5"/>
  <c r="AC7" i="5" s="1"/>
  <c r="Q7" i="5"/>
  <c r="AD7" i="5" s="1"/>
  <c r="AB6" i="5"/>
  <c r="AA6" i="5"/>
  <c r="Z6" i="5"/>
  <c r="Y6" i="5"/>
  <c r="AC6" i="5" s="1"/>
  <c r="Q6" i="5"/>
  <c r="AD6" i="5" s="1"/>
  <c r="AB5" i="5"/>
  <c r="AA5" i="5"/>
  <c r="Z5" i="5"/>
  <c r="Y5" i="5"/>
  <c r="AC5" i="5" s="1"/>
  <c r="Q5" i="5"/>
  <c r="AD5" i="5" s="1"/>
  <c r="AB4" i="5"/>
  <c r="AA4" i="5"/>
  <c r="Z4" i="5"/>
  <c r="Y4" i="5"/>
  <c r="AC4" i="5" s="1"/>
  <c r="Q4" i="5"/>
  <c r="AD4" i="5" s="1"/>
  <c r="AB3" i="5"/>
  <c r="AA3" i="5"/>
  <c r="Z3" i="5"/>
  <c r="Y3" i="5"/>
  <c r="AC3" i="5" s="1"/>
  <c r="Q3" i="5"/>
  <c r="AD3" i="5" s="1"/>
  <c r="AB2" i="5"/>
  <c r="AA2" i="5"/>
  <c r="Z2" i="5"/>
  <c r="Y2" i="5"/>
  <c r="AC2" i="5" s="1"/>
  <c r="Q2" i="5"/>
  <c r="AD2" i="5" s="1"/>
  <c r="AE51" i="5" l="1"/>
  <c r="R51" i="5" s="1"/>
  <c r="P51" i="5"/>
  <c r="AE50" i="5"/>
  <c r="R50" i="5" s="1"/>
  <c r="P50" i="5"/>
  <c r="AE49" i="5"/>
  <c r="R49" i="5" s="1"/>
  <c r="P49" i="5"/>
  <c r="AE48" i="5"/>
  <c r="R48" i="5" s="1"/>
  <c r="P48" i="5"/>
  <c r="AE47" i="5"/>
  <c r="R47" i="5" s="1"/>
  <c r="P47" i="5"/>
  <c r="AE46" i="5"/>
  <c r="R46" i="5" s="1"/>
  <c r="P46" i="5"/>
  <c r="AE45" i="5"/>
  <c r="R45" i="5" s="1"/>
  <c r="P45" i="5"/>
  <c r="AE44" i="5"/>
  <c r="R44" i="5" s="1"/>
  <c r="P44" i="5"/>
  <c r="AE43" i="5"/>
  <c r="R43" i="5" s="1"/>
  <c r="P43" i="5"/>
  <c r="AE42" i="5"/>
  <c r="R42" i="5" s="1"/>
  <c r="P42" i="5"/>
  <c r="AE41" i="5"/>
  <c r="R41" i="5" s="1"/>
  <c r="P41" i="5"/>
  <c r="AE40" i="5"/>
  <c r="R40" i="5" s="1"/>
  <c r="P40" i="5"/>
  <c r="AE39" i="5"/>
  <c r="R39" i="5" s="1"/>
  <c r="P39" i="5"/>
  <c r="AE38" i="5"/>
  <c r="R38" i="5" s="1"/>
  <c r="P38" i="5"/>
  <c r="P37" i="5"/>
  <c r="AE37" i="5"/>
  <c r="R37" i="5" s="1"/>
  <c r="AE36" i="5"/>
  <c r="R36" i="5" s="1"/>
  <c r="P36" i="5"/>
  <c r="AE35" i="5"/>
  <c r="R35" i="5" s="1"/>
  <c r="P35" i="5"/>
  <c r="AE34" i="5"/>
  <c r="R34" i="5" s="1"/>
  <c r="P34" i="5"/>
  <c r="AE33" i="5"/>
  <c r="R33" i="5" s="1"/>
  <c r="P33" i="5"/>
  <c r="AE32" i="5"/>
  <c r="R32" i="5" s="1"/>
  <c r="P32" i="5"/>
  <c r="AE31" i="5"/>
  <c r="R31" i="5" s="1"/>
  <c r="P31" i="5"/>
  <c r="AE30" i="5"/>
  <c r="R30" i="5" s="1"/>
  <c r="P30" i="5"/>
  <c r="AE29" i="5"/>
  <c r="R29" i="5" s="1"/>
  <c r="P29" i="5"/>
  <c r="AE28" i="5"/>
  <c r="R28" i="5" s="1"/>
  <c r="P28" i="5"/>
  <c r="AE27" i="5"/>
  <c r="R27" i="5" s="1"/>
  <c r="P27" i="5"/>
  <c r="AE26" i="5"/>
  <c r="R26" i="5" s="1"/>
  <c r="P26" i="5"/>
  <c r="AE25" i="5"/>
  <c r="R25" i="5" s="1"/>
  <c r="P25" i="5"/>
  <c r="AE24" i="5"/>
  <c r="R24" i="5" s="1"/>
  <c r="P24" i="5"/>
  <c r="AE23" i="5"/>
  <c r="R23" i="5" s="1"/>
  <c r="P23" i="5"/>
  <c r="AE22" i="5"/>
  <c r="R22" i="5" s="1"/>
  <c r="P22" i="5"/>
  <c r="AE21" i="5"/>
  <c r="R21" i="5" s="1"/>
  <c r="P21" i="5"/>
  <c r="AE20" i="5"/>
  <c r="R20" i="5" s="1"/>
  <c r="P20" i="5"/>
  <c r="AE19" i="5"/>
  <c r="R19" i="5" s="1"/>
  <c r="P19" i="5"/>
  <c r="AE18" i="5"/>
  <c r="R18" i="5" s="1"/>
  <c r="P18" i="5"/>
  <c r="AE17" i="5"/>
  <c r="R17" i="5" s="1"/>
  <c r="P17" i="5"/>
  <c r="AE16" i="5"/>
  <c r="R16" i="5" s="1"/>
  <c r="P16" i="5"/>
  <c r="AE15" i="5"/>
  <c r="R15" i="5" s="1"/>
  <c r="P15" i="5"/>
  <c r="AE14" i="5"/>
  <c r="R14" i="5" s="1"/>
  <c r="P14" i="5"/>
  <c r="AE13" i="5"/>
  <c r="R13" i="5" s="1"/>
  <c r="P13" i="5"/>
  <c r="AE12" i="5"/>
  <c r="R12" i="5" s="1"/>
  <c r="P12" i="5"/>
  <c r="AE11" i="5"/>
  <c r="R11" i="5" s="1"/>
  <c r="P11" i="5"/>
  <c r="AE10" i="5"/>
  <c r="R10" i="5" s="1"/>
  <c r="P10" i="5"/>
  <c r="AE9" i="5"/>
  <c r="R9" i="5" s="1"/>
  <c r="P9" i="5"/>
  <c r="AE8" i="5"/>
  <c r="R8" i="5" s="1"/>
  <c r="P8" i="5"/>
  <c r="AE7" i="5"/>
  <c r="R7" i="5" s="1"/>
  <c r="P7" i="5"/>
  <c r="AE6" i="5"/>
  <c r="R6" i="5" s="1"/>
  <c r="P6" i="5"/>
  <c r="AE5" i="5"/>
  <c r="R5" i="5" s="1"/>
  <c r="P5" i="5"/>
  <c r="AE4" i="5"/>
  <c r="R4" i="5" s="1"/>
  <c r="P4" i="5"/>
  <c r="AE3" i="5"/>
  <c r="R3" i="5" s="1"/>
  <c r="P3" i="5"/>
  <c r="AE2" i="5"/>
  <c r="R2" i="5" s="1"/>
  <c r="P2" i="5"/>
</calcChain>
</file>

<file path=xl/sharedStrings.xml><?xml version="1.0" encoding="utf-8"?>
<sst xmlns="http://schemas.openxmlformats.org/spreadsheetml/2006/main" count="1170" uniqueCount="710">
  <si>
    <t>Asset</t>
  </si>
  <si>
    <t>Threat type</t>
  </si>
  <si>
    <t>Security Attribute</t>
  </si>
  <si>
    <t>Damage Scenario</t>
  </si>
  <si>
    <t>Attack Path</t>
  </si>
  <si>
    <t>Attack vector</t>
  </si>
  <si>
    <t>Attack Vector Note / Motiv</t>
  </si>
  <si>
    <t>Safety Impact</t>
  </si>
  <si>
    <t>Safety Note / Motiv</t>
  </si>
  <si>
    <t>Financial Impact</t>
  </si>
  <si>
    <t>Financial Note / Motiv</t>
  </si>
  <si>
    <t>Operational Impact</t>
  </si>
  <si>
    <t>Operational Note / Motiv</t>
  </si>
  <si>
    <t>Privacy and Legislative Impact</t>
  </si>
  <si>
    <t>Privacy Note / Motiv</t>
  </si>
  <si>
    <t>Severity Level</t>
  </si>
  <si>
    <t>Feasibility Level</t>
  </si>
  <si>
    <t>Risk Value</t>
  </si>
  <si>
    <t>Treatment Options</t>
  </si>
  <si>
    <t>Measures</t>
  </si>
  <si>
    <t>Affected Design Elements</t>
  </si>
  <si>
    <t>Justification (Treatment)</t>
  </si>
  <si>
    <t>Cybersecurity Goals</t>
  </si>
  <si>
    <t>s</t>
  </si>
  <si>
    <t>f</t>
  </si>
  <si>
    <t>o</t>
  </si>
  <si>
    <t>p</t>
  </si>
  <si>
    <t>impact</t>
  </si>
  <si>
    <t>feasibility val</t>
  </si>
  <si>
    <t>Risk score</t>
  </si>
  <si>
    <t>Impact Criteria</t>
  </si>
  <si>
    <t>Weight</t>
  </si>
  <si>
    <t>Lower Limit</t>
  </si>
  <si>
    <t>Risk Level</t>
  </si>
  <si>
    <t>Impact Rating</t>
  </si>
  <si>
    <t>Threshold Value</t>
  </si>
  <si>
    <t>Safety</t>
  </si>
  <si>
    <t>Critical</t>
  </si>
  <si>
    <t>Severe</t>
  </si>
  <si>
    <t>Operational</t>
  </si>
  <si>
    <t>High</t>
  </si>
  <si>
    <t>Major</t>
  </si>
  <si>
    <t>Financial</t>
  </si>
  <si>
    <t>Medium</t>
  </si>
  <si>
    <t>Moderate</t>
  </si>
  <si>
    <t>Privacy</t>
  </si>
  <si>
    <t>Low</t>
  </si>
  <si>
    <t>Negligible</t>
  </si>
  <si>
    <t>Very Low</t>
  </si>
  <si>
    <t>Safety =&gt;S</t>
  </si>
  <si>
    <t>Criteria for Safety Impact Rating</t>
  </si>
  <si>
    <t>Value</t>
  </si>
  <si>
    <t>S3: Life-threatening injuries (survival uncertain), fatal injuries</t>
  </si>
  <si>
    <t xml:space="preserve">Risk Assessment </t>
  </si>
  <si>
    <t>S2: Severe and life-threatening injuries (survival probable)</t>
  </si>
  <si>
    <t>Impact Rating:</t>
  </si>
  <si>
    <t>Impact Level=&gt;l</t>
  </si>
  <si>
    <t>S1: Light and moderate injuries</t>
  </si>
  <si>
    <t xml:space="preserve">(5*S + 1*O + 0.5*F + 0.25*P) / 4 </t>
  </si>
  <si>
    <t>S0: No injuries</t>
  </si>
  <si>
    <t>Risk Score:</t>
  </si>
  <si>
    <t>R = 1 + I×F</t>
  </si>
  <si>
    <t>Reputational =&gt; R</t>
  </si>
  <si>
    <t>Attack Feasibility Level  =&gt; F</t>
  </si>
  <si>
    <t>Criteria for Reputational Impact Rating</t>
  </si>
  <si>
    <t>Threat category (STRIDE)</t>
  </si>
  <si>
    <t>The reputational damage leads to catastrophic consequences which the affected road user might not overcome.</t>
  </si>
  <si>
    <t>Spoofing</t>
  </si>
  <si>
    <t>Risk Score =&gt;R</t>
  </si>
  <si>
    <t xml:space="preserve">R = 1 + I × F </t>
  </si>
  <si>
    <t>The reputational damage leads to substantial consequences which the affected road user will be able to overcome</t>
  </si>
  <si>
    <t>Tampering</t>
  </si>
  <si>
    <t xml:space="preserve">Risk Appetite </t>
  </si>
  <si>
    <t>The reputational damage leads to inconvenient consequences which the affected road user will be able to overcome with limited resources</t>
  </si>
  <si>
    <t>Repudiation</t>
  </si>
  <si>
    <t>RA Goal:</t>
  </si>
  <si>
    <t>Risk Reduction</t>
  </si>
  <si>
    <t>The reputational damage leads to no effect, negligible consequences or is irrelevant to the road user.</t>
  </si>
  <si>
    <t xml:space="preserve">Information Disclosure </t>
  </si>
  <si>
    <t>Denial of Service</t>
  </si>
  <si>
    <t>Elevation of Privileges</t>
  </si>
  <si>
    <t>Operational =&gt; O</t>
  </si>
  <si>
    <t>Criteria for Operational Impact Rating</t>
  </si>
  <si>
    <t>The operational damage leads to the loss or impairment of a core vehicle function. 
EXAMPLE 1 Vehicle not working or showing unexpected behaviour of core functions such as enabling of limp home mode or autonomous driving to an unintended location.</t>
  </si>
  <si>
    <t>The operational damage leads to the loss or impairment of an important vehicle function. 
EXAMPLE 2 Significant annoyance of the driver.</t>
  </si>
  <si>
    <t>The operational damage leads to partial degradation of a vehicle function. 
EXAMPLE 3 User satisfaction negatively affected.</t>
  </si>
  <si>
    <t>The operational damage leads to no impairment or non-perceivable impairment of a vehicle function.</t>
  </si>
  <si>
    <t>Privacy =&gt; P</t>
  </si>
  <si>
    <t>Criteria for Privacy Impact Rating</t>
  </si>
  <si>
    <t>The privacy damage leads to significant or even irreversible impact to the road user. The information regarding the road user is highly sensitive and easy to link to a PII principal.</t>
  </si>
  <si>
    <t>The privacy damage leads to serious impact to the road user. The information regarding the road user is: a) highly sensitive and difficult to link to a PII principal; or b) sensitive and easy to link to a PII principal.</t>
  </si>
  <si>
    <t>The privacy damage leads to inconvenient consequences to the road user. The information regarding the road user is: a) sensitive but difficult to link to a PII principal; or b) not sensitive but easy to link to a PII principal.</t>
  </si>
  <si>
    <t>The privacy damage leads to no effect or, negligible consequences or is irrelevant to the road user. The information regarding the road user is not sensitive and difficult to link to a PII principal.</t>
  </si>
  <si>
    <t xml:space="preserve"> </t>
  </si>
  <si>
    <t>Attack Feasibility Rating =&gt; F</t>
  </si>
  <si>
    <t>Attack Vector</t>
  </si>
  <si>
    <t>Description</t>
  </si>
  <si>
    <t>Level</t>
  </si>
  <si>
    <t>Network</t>
  </si>
  <si>
    <t>Potential attack path is bound to network stack without any limitation</t>
  </si>
  <si>
    <t>Adjacent</t>
  </si>
  <si>
    <t>Potential attack path is bound to network stack; however, the connection is limited physically or logically.</t>
  </si>
  <si>
    <t>Local</t>
  </si>
  <si>
    <t>Potential attack path is not bound to network stack and threat agents require direct access to the item for realizing the attack path.</t>
  </si>
  <si>
    <t>Physical</t>
  </si>
  <si>
    <t>Threat agents require physical access to realize the attack path.</t>
  </si>
  <si>
    <t>Very low</t>
  </si>
  <si>
    <t xml:space="preserve">Risk Treatment </t>
  </si>
  <si>
    <t>Method</t>
  </si>
  <si>
    <t>The level of risk shall be managed by introducing, removing or altering security controls so that the residual risk can be assessed as being acceptable. Mitigation would be implemented</t>
  </si>
  <si>
    <t>Risk Retention</t>
  </si>
  <si>
    <t>The decision on retaining the risk without further action shall be taken depending on risk evaluation.</t>
  </si>
  <si>
    <t>Risk Avoidance</t>
  </si>
  <si>
    <t xml:space="preserve">The activity or condition that gives rise to the particular risk shall be avoided.
EXAMPLE 1 Avoiding the risk by removing the risk sources, deciding not to start or continue with the
activity that gives rise to the risk.
</t>
  </si>
  <si>
    <t>Risk Transfer</t>
  </si>
  <si>
    <t>The risk shall be shared with another party that can most effectively manage the particular risk
depending on risk evaluation.
EXAMPLE 2 Sharing risk through contracts or transferring risk by buying insurance.</t>
  </si>
  <si>
    <t>T-01 - PM2.5 measurement</t>
  </si>
  <si>
    <t>Integrity, Authenticity</t>
  </si>
  <si>
    <t>Incorrectly low PM2.5 values can cause a false indication of acceptable particulate exposure.</t>
  </si>
  <si>
    <t>PM2.5 Sensor → IUC → telemetry → user/status display</t>
  </si>
  <si>
    <t>Attack requires local access to the sensor-to-IUC measurement interface to inject or manipulate readings.</t>
  </si>
  <si>
    <t>A false low particulate reading can contribute to an incorrect exposure assessment; the PDF identifies incorrect PM2.5 exposure indication as a relevant damage.</t>
  </si>
  <si>
    <t>The source describes an environmental-monitoring consequence without a direct financial loss mechanism.</t>
  </si>
  <si>
    <t>The monitoring function can provide incorrect air-quality information and degrade environmental decision-making.</t>
  </si>
  <si>
    <t>PM2.5 telemetry is not identified in the source as inherently privacy-sensitive or directly linked to a person.</t>
  </si>
  <si>
    <t>Sensor message authentication, integrity checks, plausibility/range checks, anomaly detection, secure calibration, replay protection</t>
  </si>
  <si>
    <t>PM2.5 sensor interface; IUC sensor-ingestion function; telemetry processing; user/status presentation</t>
  </si>
  <si>
    <t>Reduce the chance that fabricated sensor values are accepted as genuine measurements by enforcing authenticity and integrity at ingestion.</t>
  </si>
  <si>
    <t>Ensure PM2.5 measurement integrity and authenticity from sensor to alarm/monitoring consumer.</t>
  </si>
  <si>
    <t>T-02 - PM10 measurement</t>
  </si>
  <si>
    <t>False PM10 measurements can produce an incorrect particulate-exposure indication and mask elevated concentrations.</t>
  </si>
  <si>
    <t>PM10 Sensor → IUC → telemetry → user/status display</t>
  </si>
  <si>
    <t>The PDF explicitly cites physical access to the sensor communication path as a way to supply false measurements.</t>
  </si>
  <si>
    <t>Incorrect PM10 values can contribute to an incorrect exposure assessment; the source lists PM2.5/PM10 measurement integrity as a key asset.</t>
  </si>
  <si>
    <t>No specific direct financial damage is identified in the source for this sensor-level manipulation.</t>
  </si>
  <si>
    <t>Incorrect measurements impair the environmental-monitoring function and can affect air-quality decisions.</t>
  </si>
  <si>
    <t>The source does not identify PM10 data as privacy-sensitive by itself.</t>
  </si>
  <si>
    <t>Authenticated sensor messaging, physical interface protection, plausibility checks, calibration controls, anomaly detection</t>
  </si>
  <si>
    <t>PM10 sensor; sensor bus/interface; IUC sensor ingestion; downstream telemetry consumers</t>
  </si>
  <si>
    <t>Protect the local sensor interface and validate readings before they enter trusted processing.</t>
  </si>
  <si>
    <t>Ensure PM10 measurement integrity and authenticity; reject implausible or unauthenticated values.</t>
  </si>
  <si>
    <t>T-03 - CO measurement and alarm state</t>
  </si>
  <si>
    <t>A genuine high-CO condition may be represented as low CO, suppressing a hazardous-gas warning and creating a false-safe indication.</t>
  </si>
  <si>
    <t>CO Sensor → IUC → Wi-Fi/LoRa → Edge → Cloud → User / Status Display</t>
  </si>
  <si>
    <t>An attacker injects a counterfeit CO measurement at or before IUC ingestion so the trusted path carries a false low value.</t>
  </si>
  <si>
    <t>The PDF identifies false-negative CO detection as a high-consequence scenario that can expose occupants to hazardous CO without warning.</t>
  </si>
  <si>
    <t>A missed hazardous condition can trigger incident response, liability, service, or remediation costs.</t>
  </si>
  <si>
    <t>A false-negative alarm can impair an important monitoring function by preventing timely hazard detection.</t>
  </si>
  <si>
    <t>The threat concerns measurement integrity; no direct privacy effect is identified.</t>
  </si>
  <si>
    <t>Strong sensor authentication, signed/MACed measurements, freshness protection, plausibility/cross-sensor checks, alarm-state validation</t>
  </si>
  <si>
    <t>CO sensor; IUC ingestion; Wi-Fi/LoRa paths; Far/LoRa Edge; cloud alarm-processing; Status Display</t>
  </si>
  <si>
    <t>The source prioritizes authenticity + freshness + integrity of the physical measurement all the way to the alarm consumer.</t>
  </si>
  <si>
    <t>Prevent false CO measurements from suppressing required alarms; preserve end-to-end authenticity, freshness and integrity.</t>
  </si>
  <si>
    <t>T-04 - CO measurement, alarm threshold/status</t>
  </si>
  <si>
    <t>Integrity</t>
  </si>
  <si>
    <t>Changing CO measurements or alarm-threshold/status data can suppress, delay, or misclassify a hazardous-gas alarm.</t>
  </si>
  <si>
    <t>CO Sensor → IUC; manipulated value/threshold → alarm logic</t>
  </si>
  <si>
    <t>Sensor data or threshold-related values are altered before reaching the IUC or alarm-processing function.</t>
  </si>
  <si>
    <t>A manipulated threshold or CO value can create a false-negative hazard condition similar to the source's CO damage chain.</t>
  </si>
  <si>
    <t>Incorrect alarm behavior can create response, maintenance, and liability costs.</t>
  </si>
  <si>
    <t>The monitoring/alarm function can be materially impaired by persistent threshold or status manipulation.</t>
  </si>
  <si>
    <t>No direct privacy consequence is identified for this measurement/threshold attack.</t>
  </si>
  <si>
    <t>Signed configuration, secure parameter storage, threshold authorization, integrity checks, change logging, plausibility monitoring</t>
  </si>
  <si>
    <t>CO sensor; calibration/threshold configuration; IUC alarm logic; Status Display</t>
  </si>
  <si>
    <t>Treat thresholds and alarm state as security-critical configuration, not only as ordinary sensor data.</t>
  </si>
  <si>
    <t>Protect CO alarm thresholds and status against unauthorized modification; detect and reject altered values.</t>
  </si>
  <si>
    <t>T-05 - CO2 measurement</t>
  </si>
  <si>
    <t>False CO2 values can cause incorrect ventilation or indoor-air-quality decisions.</t>
  </si>
  <si>
    <t>CO2 Sensor → IUC → telemetry → user/status display</t>
  </si>
  <si>
    <t>Counterfeit CO2 measurements are supplied to the IUC so the monitoring function reports an incorrect concentration.</t>
  </si>
  <si>
    <t>The source identifies incorrect CO2 information as a consequential environmental/ventilation damage.</t>
  </si>
  <si>
    <t>The source does not identify a specific direct financial loss for this sensor-level spoofing.</t>
  </si>
  <si>
    <t>Incorrect CO2 information can partially degrade the environmental-monitoring and ventilation-decision function.</t>
  </si>
  <si>
    <t>CO2 concentration data is not described as directly privacy-sensitive.</t>
  </si>
  <si>
    <t>Sensor authentication, integrity protection, plausibility checks, anomaly detection, calibration controls</t>
  </si>
  <si>
    <t>CO2 sensor; IUC ingestion; telemetry pipeline; dashboard/status output</t>
  </si>
  <si>
    <t>Validate CO2 readings before using them in ventilation or air-quality decisions.</t>
  </si>
  <si>
    <t>Maintain authentic, integrity-protected CO2 measurements through monitoring and presentation.</t>
  </si>
  <si>
    <t>T-06 - NO2 measurement</t>
  </si>
  <si>
    <t>False low NO2 measurements can suppress detection of toxic-pollutant exposure.</t>
  </si>
  <si>
    <t>NO2 Sensor → IUC → Wi-Fi/LoRa → Edge → Cloud → User / Status Display</t>
  </si>
  <si>
    <t>The attacker supplies artificially low or otherwise false NO2 measurements to the IUC.</t>
  </si>
  <si>
    <t>The source identifies false-negative NO2 detection as an undetected toxic-pollutant exposure scenario.</t>
  </si>
  <si>
    <t>Missed exposure can lead to incident response, remediation, service, or liability costs.</t>
  </si>
  <si>
    <t>An important environmental hazard-monitoring function is degraded when toxic exposure is not detected.</t>
  </si>
  <si>
    <t>No direct privacy effect is identified for NO2 measurements.</t>
  </si>
  <si>
    <t>Sensor authentication, end-to-end integrity, freshness checks, plausibility/anomaly detection, alarm-state validation</t>
  </si>
  <si>
    <t>NO2 sensor; IUC ingestion; both telemetry paths; edge/cloud alarm processing; user/status display</t>
  </si>
  <si>
    <t>The source calls out authenticity, freshness and integrity of physical measurements through to the alarm consumer.</t>
  </si>
  <si>
    <t>Prevent suppression of NO2 hazard detection; preserve authentic, fresh and integral measurements end-to-end.</t>
  </si>
  <si>
    <t>T-07 - SO2 measurement</t>
  </si>
  <si>
    <t>False low SO2 measurements can suppress detection of toxic-pollutant exposure.</t>
  </si>
  <si>
    <t>SO2 Sensor → IUC → Wi-Fi/LoRa → Edge → Cloud → User / Status Display</t>
  </si>
  <si>
    <t>False SO2 sensor values are presented to the IUC so the monitoring function reports an incorrect concentration.</t>
  </si>
  <si>
    <t>The source identifies false-negative SO2 detection as an undetected toxic-pollutant exposure scenario.</t>
  </si>
  <si>
    <t>Missed exposure can create response, remediation, service, or liability costs.</t>
  </si>
  <si>
    <t>Toxic-pollutant monitoring can be materially impaired when SO2 alarms are suppressed.</t>
  </si>
  <si>
    <t>No direct privacy effect is identified for SO2 measurements.</t>
  </si>
  <si>
    <t>Authenticated sensor data, end-to-end integrity and freshness, anomaly detection, plausibility checks, alarm validation</t>
  </si>
  <si>
    <t>SO2 sensor; IUC ingestion; telemetry paths; edge/cloud processing; user/status display</t>
  </si>
  <si>
    <t>Protect SO2 measurement authenticity and freshness through all trusted processing points.</t>
  </si>
  <si>
    <t>Prevent false-negative SO2 detection; preserve integrity, authenticity and freshness.</t>
  </si>
  <si>
    <t>T-08 - O3 measurement</t>
  </si>
  <si>
    <t>False low ozone measurements can suppress detection of toxic-pollutant exposure.</t>
  </si>
  <si>
    <t>O3 Sensor → IUC → Wi-Fi/LoRa → Edge → Cloud → User / Status Display</t>
  </si>
  <si>
    <t>Counterfeit ozone concentration data is injected into the monitoring path.</t>
  </si>
  <si>
    <t>The source identifies false-negative O3 detection as an undetected toxic-pollutant exposure scenario.</t>
  </si>
  <si>
    <t>The hazard-monitoring function can be materially impaired by suppressed O3 detection.</t>
  </si>
  <si>
    <t>No direct privacy effect is identified for O3 measurements.</t>
  </si>
  <si>
    <t>Sensor authentication, signed/MACed data, freshness protection, anomaly detection, plausibility and alarm checks</t>
  </si>
  <si>
    <t>O3 sensor; IUC ingestion; Wi-Fi/LoRa paths; edge/cloud alarm processing; display</t>
  </si>
  <si>
    <t>Apply the same end-to-end protection emphasized by the source for toxic-pollutant measurements.</t>
  </si>
  <si>
    <t>Prevent false-negative ozone detection; maintain authentic, fresh and integral measurements.</t>
  </si>
  <si>
    <t>T-09 - Sensor communications and configuration</t>
  </si>
  <si>
    <t>Manipulation of sensor buses can inject, alter, or reorder multiple sensor messages and compromise several measurements at once.</t>
  </si>
  <si>
    <t>All sensors → physical buses/interfaces → IUC</t>
  </si>
  <si>
    <t>The PDF explicitly identifies physical access as enabling modification, injection, or alteration of sensor messages.</t>
  </si>
  <si>
    <t>Simultaneous compromise of multiple sensor channels can lead to unsafe environmental decisions.</t>
  </si>
  <si>
    <t>Multi-channel corruption can disrupt monitoring, diagnosis, and maintenance activities.</t>
  </si>
  <si>
    <t>The source identifies the IUC sensor-ingestion function as an asset where multiple channels can be compromised simultaneously.</t>
  </si>
  <si>
    <t>No direct privacy effect is identified for bus-level tampering.</t>
  </si>
  <si>
    <t>Bus integrity/authentication, physical tamper resistance, message validation, secure diagnostics, anomaly detection</t>
  </si>
  <si>
    <t>All sensor buses; sensor interfaces; IUC sensor-ingestion function; alarm logic</t>
  </si>
  <si>
    <t>Protect the shared ingestion boundary because compromise there can affect multiple sensors simultaneously.</t>
  </si>
  <si>
    <t>Protect sensor communications and configuration from unauthorized modification or injection.</t>
  </si>
  <si>
    <t>T-10 - Sensor availability</t>
  </si>
  <si>
    <t>Availability</t>
  </si>
  <si>
    <t>Blocking sensor communications prevents the IUC from receiving environmental measurements and can remove hazard visibility.</t>
  </si>
  <si>
    <t>All sensor interfaces → IUC</t>
  </si>
  <si>
    <t>A physical or logical attack prevents one or more sensors from delivering measurements to the IUC.</t>
  </si>
  <si>
    <t>Loss of all sensor input can contribute to undetected hazardous conditions and missed decisions.</t>
  </si>
  <si>
    <t>The direct financial consequence is not specified in the source, although downtime may cause service costs.</t>
  </si>
  <si>
    <t>The central monitoring function is materially impaired when measurements are unavailable.</t>
  </si>
  <si>
    <t>No direct privacy impact is identified.</t>
  </si>
  <si>
    <t>Interface watchdogs, redundancy, health monitoring, rate limiting, fault detection, fail-safe alerting</t>
  </si>
  <si>
    <t>Sensor buses/interfaces; IUC ingestion; monitoring and alarm functions</t>
  </si>
  <si>
    <t>Detect loss of sensor availability and avoid silently treating missing data as safe data.</t>
  </si>
  <si>
    <t>Maintain availability of sensor measurements and explicitly signal unavailable/untrusted data.</t>
  </si>
  <si>
    <t>T-11 - Sensor calibration/configuration</t>
  </si>
  <si>
    <t>Malicious calibration or scaling changes can create systematic measurement errors that persist across monitoring cycles.</t>
  </si>
  <si>
    <t>Sensor configuration/calibration → IUC</t>
  </si>
  <si>
    <t>Sensor calibration parameters and scaling information are maliciously changed, causing biased measurements.</t>
  </si>
  <si>
    <t>Systematic errors can suppress hazard detection or produce incorrect environmental assessments.</t>
  </si>
  <si>
    <t>Incorrect calibration can lead to maintenance, re-certification, remediation, and service costs.</t>
  </si>
  <si>
    <t>Persistent calibration errors degrade the monitoring function across repeated measurements.</t>
  </si>
  <si>
    <t>No direct privacy effect is identified.</t>
  </si>
  <si>
    <t>Signed calibration profiles, authenticated configuration, secure parameter storage, authorization, change audit</t>
  </si>
  <si>
    <t>Sensor configuration/calibration; sensor controller; IUC ingestion; alarm logic</t>
  </si>
  <si>
    <t>Secure configuration is required because a correct sensor value is ineffective if its conversion parameters are compromised.</t>
  </si>
  <si>
    <t>Ensure only authorized, integrity-protected calibration/configuration values are applied.</t>
  </si>
  <si>
    <t>T-12 - GPS position/time information</t>
  </si>
  <si>
    <t>Counterfeit GPS/GNSS signals can create incorrect position or time information and misassociate environmental incidents.</t>
  </si>
  <si>
    <t>GPS RF → GPS receiver → IUC → telemetry/cloud</t>
  </si>
  <si>
    <t>A nearby RF attacker supplies counterfeit GNSS/GPS signals that influence the position or time reference.</t>
  </si>
  <si>
    <t>The source associates GPS spoofing mainly with location/time correlation rather than direct physical harm.</t>
  </si>
  <si>
    <t>The main operational effect is incorrect incident correlation rather than loss of the monitoring function.</t>
  </si>
  <si>
    <t>Incorrect location/time records can impair incident traceability and context.</t>
  </si>
  <si>
    <t>GPS/location information is explicitly identified by the source as a privacy-relevant asset when exposed or misassociated.</t>
  </si>
  <si>
    <t>GNSS anti-spoofing/detection, authenticated time sources, plausibility checks, multi-source location/time validation</t>
  </si>
  <si>
    <t>GPS receiver; RF interface; IUC; incident timestamp/location data</t>
  </si>
  <si>
    <t>Use independent time/location plausibility checks because GNSS signals alone are not sufficient evidence of authenticity.</t>
  </si>
  <si>
    <t>Protect the authenticity and integrity of position/time used for environmental-event correlation.</t>
  </si>
  <si>
    <t>T-13 - GPS availability</t>
  </si>
  <si>
    <t>RF interference or jamming can prevent the IUC from obtaining a valid GPS/GNSS position or time solution.</t>
  </si>
  <si>
    <t>GPS RF interface → GPS receiver → IUC</t>
  </si>
  <si>
    <t>RF interference or jamming in the vicinity prevents valid position/time acquisition.</t>
  </si>
  <si>
    <t>The source frames the direct effect as loss of position/time rather than a financial loss.</t>
  </si>
  <si>
    <t>The monitoring platform can continue environmental monitoring but loses location/time quality.</t>
  </si>
  <si>
    <t>Loss of valid time/location can partially degrade event correlation and operational visibility.</t>
  </si>
  <si>
    <t>Location data remains a privacy-relevant function, though this threat is primarily an availability issue.</t>
  </si>
  <si>
    <t>Jamming detection, holdover time, alternate time source, GNSS health monitoring, degraded-mode handling</t>
  </si>
  <si>
    <t>GPS RF interface; GPS receiver; IUC time/location service</t>
  </si>
  <si>
    <t>Avoid treating absent GNSS as a valid default and provide a controlled degraded mode.</t>
  </si>
  <si>
    <t>Maintain trustworthy time/location service or explicitly indicate degraded availability.</t>
  </si>
  <si>
    <t>T-14 - GPS position/time data</t>
  </si>
  <si>
    <t>Valid GPS data can be altered before the IUC uses it, producing incorrect location/time association for environmental events.</t>
  </si>
  <si>
    <t>GPS receiver → IUC</t>
  </si>
  <si>
    <t>Valid GPS data is replaced or altered before the IUC consumes it.</t>
  </si>
  <si>
    <t>The primary damage described by the source is incorrect location/time correlation.</t>
  </si>
  <si>
    <t>Operational monitoring can continue but event records may be misassociated.</t>
  </si>
  <si>
    <t>Incorrect timestamps or coordinates degrade incident analysis and operational context.</t>
  </si>
  <si>
    <t>Incorrect handling of location data can affect the integrity of location history and its privacy-sensitive context.</t>
  </si>
  <si>
    <t>Authenticated receiver-to-IUC data, integrity checks, monotonic timestamp checks, independent validation</t>
  </si>
  <si>
    <t>GPS receiver; IUC location/time service; event records</t>
  </si>
  <si>
    <t>Protect receiver-to-IUC integrity because a valid GNSS source can still be corrupted on the local interface.</t>
  </si>
  <si>
    <t>Ensure GPS position/time data is integral and plausibility-checked before association with events.</t>
  </si>
  <si>
    <t>T-15 - Wi-Fi peer identity/session</t>
  </si>
  <si>
    <t>A rogue access point or unauthorized Wi-Fi peer can impersonate a trusted endpoint and redirect IUC communications.</t>
  </si>
  <si>
    <t>IUC ↔ Wi-Fi ↔ Far Edge</t>
  </si>
  <si>
    <t>A rogue AP or unauthorized Wi-Fi device induces the IUC to communicate through an untrusted peer.</t>
  </si>
  <si>
    <t>A spoofed communication peer can become a stepping stone to telemetry manipulation and false alarms.</t>
  </si>
  <si>
    <t>Untrusted connectivity can disrupt normal telemetry and require incident response.</t>
  </si>
  <si>
    <t>The communications path is impaired when the IUC cannot distinguish the trusted peer.</t>
  </si>
  <si>
    <t>Credentials and environmental telemetry may be exposed if the rogue peer becomes trusted.</t>
  </si>
  <si>
    <t>Mutual authentication, certificate validation, protected Wi-Fi configuration, peer pinning, network segmentation</t>
  </si>
  <si>
    <t>IUC Wi-Fi interface; access point; Far Edge connection; credential store</t>
  </si>
  <si>
    <t>Authenticate both endpoints so network presence alone cannot establish trust.</t>
  </si>
  <si>
    <t>Ensure only authorized Wi-Fi peers and sessions are accepted by the IUC.</t>
  </si>
  <si>
    <t>T-16 - Telemetry, credentials and device metadata</t>
  </si>
  <si>
    <t>Information Disclosure</t>
  </si>
  <si>
    <t>Confidentiality</t>
  </si>
  <si>
    <t>Passive interception can expose environmental telemetry, credentials, device identifiers, and operational metadata.</t>
  </si>
  <si>
    <t>IUC ↔ Wi-Fi → observer</t>
  </si>
  <si>
    <t>An attacker positioned within the wireless environment observes inadequately protected communications.</t>
  </si>
  <si>
    <t>The primary consequence in the source is information exposure, not direct physical damage.</t>
  </si>
  <si>
    <t>Credential or telemetry disclosure can create follow-on compromise and incident-management costs.</t>
  </si>
  <si>
    <t>Disclosure of communications can reduce trust in the telemetry channel and require containment.</t>
  </si>
  <si>
    <t>The source explicitly identifies credentials, device metadata, and environmental information as confidentiality assets.</t>
  </si>
  <si>
    <t>TLS/mTLS, strong Wi-Fi security, credential protection, key rotation, metadata minimization, secure storage</t>
  </si>
  <si>
    <t>IUC Wi-Fi channel; Far Edge interface; credential store; telemetry payloads</t>
  </si>
  <si>
    <t>Encrypt data in transit and protect long-lived credentials from passive interception.</t>
  </si>
  <si>
    <t>Preserve confidentiality of telemetry, credentials, and device metadata over Wi-Fi.</t>
  </si>
  <si>
    <t>T-17 - Telemetry and control messages</t>
  </si>
  <si>
    <t>Wireless modification, reordering, or injection can cause the IUC/edge path to process false telemetry or control messages.</t>
  </si>
  <si>
    <t>An attacker on the wireless path manipulates application messages in transit.</t>
  </si>
  <si>
    <t>Manipulated telemetry can contribute to false hazard indications, including suppressed alarms.</t>
  </si>
  <si>
    <t>The telemetry/control channel can be materially degraded until compromised traffic is contained.</t>
  </si>
  <si>
    <t>Important monitoring information can be falsified before it reaches trusted processing.</t>
  </si>
  <si>
    <t>No direct privacy consequence is identified for message tampering.</t>
  </si>
  <si>
    <t>End-to-end MAC/signatures, sequence numbers, freshness checks, message validation, anomaly detection</t>
  </si>
  <si>
    <t>IUC Wi-Fi stack; Far Edge; telemetry message format; alarm-processing inputs</t>
  </si>
  <si>
    <t>Protect messages independently of the transport so intermediate network attackers cannot forge accepted data.</t>
  </si>
  <si>
    <t>Ensure telemetry/control messages are authentic, integral, ordered and fresh.</t>
  </si>
  <si>
    <t>T-18 - Wi-Fi telemetry availability</t>
  </si>
  <si>
    <t>Wi-Fi interference or deliberate network disruption can prevent IUC-to-edge communication.</t>
  </si>
  <si>
    <t>RF interference or network disruption prevents the IUC from delivering telemetry over Wi-Fi.</t>
  </si>
  <si>
    <t>Loss of one path can delay remote detection and increase reliance on the redundant LoRaWAN path.</t>
  </si>
  <si>
    <t>The source describes an outage of the Wi-Fi telemetry path.</t>
  </si>
  <si>
    <t>The IUC-to-edge telemetry function is degraded while the alternate path remains available.</t>
  </si>
  <si>
    <t>No direct privacy consequence is identified for availability loss.</t>
  </si>
  <si>
    <t>RF monitoring, connection health checks, buffering, rate limiting, alternate-path failover, alert on path loss</t>
  </si>
  <si>
    <t>IUC Wi-Fi interface; Far Edge; dual-path failover logic</t>
  </si>
  <si>
    <t>Use the architecture's redundancy to avoid silently losing remote visibility when Wi-Fi is unavailable.</t>
  </si>
  <si>
    <t>Maintain telemetry availability and controlled failover when Wi-Fi is disrupted.</t>
  </si>
  <si>
    <t>T-19 - Telemetry freshness and authenticity</t>
  </si>
  <si>
    <t>Previously valid measurements can be replayed so stale data appears current and a hazardous condition may remain undetected.</t>
  </si>
  <si>
    <t>IUC ↔ Wi-Fi / Far Edge → telemetry consumer</t>
  </si>
  <si>
    <t>Captured valid sensor messages are resent without sufficient freshness protection.</t>
  </si>
  <si>
    <t>Stale low readings can suppress a current hazard, matching the source's warning that authentic but stale data can still be safety-relevant.</t>
  </si>
  <si>
    <t>Replay can corrupt monitoring history and require investigation or remediation.</t>
  </si>
  <si>
    <t>The telemetry path may continue operating while the monitoring function processes invalidly fresh data.</t>
  </si>
  <si>
    <t>The source does not identify direct privacy consequences for replay.</t>
  </si>
  <si>
    <t>Monotonic counters, sequence numbers, timestamps, nonce-based freshness, replay windows, end-to-end validation</t>
  </si>
  <si>
    <t>IUC telemetry protocol; Far Edge; Wi-Fi path; backend ingestion</t>
  </si>
  <si>
    <t>The source explicitly says authenticity alone is insufficient; freshness must be protected to the alarm consumer.</t>
  </si>
  <si>
    <t>Ensure telemetry freshness and prevent replay of previously valid measurements.</t>
  </si>
  <si>
    <t>T-20 - Far Edge processing environment, credentials and routing functions</t>
  </si>
  <si>
    <t>Elevation of Privilege</t>
  </si>
  <si>
    <t>Integrity, Authenticity, Confidentiality</t>
  </si>
  <si>
    <t>Compromise of the Far Edge with excessive privileges can enable persistent telemetry manipulation, credential exposure, and lateral movement toward cloud services.</t>
  </si>
  <si>
    <t>Wi-Fi → Far Edge compromise → 4G → Cloud</t>
  </si>
  <si>
    <t>An attacker compromises the Far Edge and obtains privileges beyond those required for telemetry forwarding/processing.</t>
  </si>
  <si>
    <t>A compromised Far Edge can become a trusted point for suppressing hazard alarms and manipulating cloud-bound data.</t>
  </si>
  <si>
    <t>The Far Edge sits on a critical trust boundary; compromise can disrupt processing and connectivity and require substantial recovery.</t>
  </si>
  <si>
    <t>The source identifies telemetry and routing compromise as an impairment of an important monitoring function.</t>
  </si>
  <si>
    <t>Credentials/tokens/keys and environmental data may be exposed from the compromised intermediate node.</t>
  </si>
  <si>
    <t>Least privilege, OS hardening, secure boot, signed updates, mTLS, credential isolation, privilege separation, monitoring</t>
  </si>
  <si>
    <t>Far Edge device; credential/key store; Wi-Fi interface; 4G interface; cloud trust relationship</t>
  </si>
  <si>
    <t>The PDF identifies the Far Edge as a particularly significant pivot between IUC/Wi-Fi and 4G/Cloud.</t>
  </si>
  <si>
    <t>Constrain Far Edge privileges and protect credentials, telemetry integrity and trust relationships.</t>
  </si>
  <si>
    <t>T-21 - Uplink telemetry</t>
  </si>
  <si>
    <t>A compromised Far Edge can modify, drop, or selectively suppress telemetry sent toward the cloud.</t>
  </si>
  <si>
    <t>Far Edge → 4G → Cloud</t>
  </si>
  <si>
    <t>The attacker acts through a compromised Far Edge to alter or selectively suppress uplink telemetry.</t>
  </si>
  <si>
    <t>Selective suppression can remove hazardous measurements from the remote monitoring view.</t>
  </si>
  <si>
    <t>Cloud-side monitoring can receive incomplete or corrupted telemetry until the device is remediated.</t>
  </si>
  <si>
    <t>The cloud-bound monitoring stream can be persistently falsified by the compromised forwarding point.</t>
  </si>
  <si>
    <t>The source does not identify a direct privacy effect for this integrity attack.</t>
  </si>
  <si>
    <t>End-to-end integrity/authentication, message sequencing, attestation, edge anomaly detection, selective-drop detection</t>
  </si>
  <si>
    <t>Far Edge; 4G uplink; cloud ingestion; telemetry sequence/freshness controls</t>
  </si>
  <si>
    <t>Do not rely on the Far Edge as the sole trust anchor for telemetry integrity.</t>
  </si>
  <si>
    <t>Preserve end-to-end telemetry integrity and authenticity across the Far Edge.</t>
  </si>
  <si>
    <t>T-22 - Local telemetry forwarding</t>
  </si>
  <si>
    <t>Compromise or resource exhaustion of the Far Edge can stop forwarding IUC telemetry.</t>
  </si>
  <si>
    <t>IUC → Far Edge → 4G/Cloud</t>
  </si>
  <si>
    <t>Resource exhaustion or compromise prevents forwarding of IUC telemetry from the Far Edge.</t>
  </si>
  <si>
    <t>Loss of remote telemetry reduces visibility of environmental conditions.</t>
  </si>
  <si>
    <t>A forwarding outage can cause service interruption and recovery costs.</t>
  </si>
  <si>
    <t>The remote telemetry path is unavailable even if the IUC continues sensing locally.</t>
  </si>
  <si>
    <t>Resource isolation, watchdogs, quotas, health monitoring, automatic restart, alternate LoRa path</t>
  </si>
  <si>
    <t>Far Edge forwarding process; local buffers; 4G interface; failover controller</t>
  </si>
  <si>
    <t>Detect loss of forwarding early and use the independent telemetry path where possible.</t>
  </si>
  <si>
    <t>Maintain availability of telemetry forwarding and failover.</t>
  </si>
  <si>
    <t>T-23 - Cellular telemetry and credentials</t>
  </si>
  <si>
    <t>Interception or compromise of the cellular communication path can expose telemetry, credentials, and metadata.</t>
  </si>
  <si>
    <t>Far Edge → 4G network → Cloud</t>
  </si>
  <si>
    <t>Cellular communications or metadata are observed through network interception or compromise.</t>
  </si>
  <si>
    <t>The source frames this as a confidentiality problem; no direct physical harm is specified.</t>
  </si>
  <si>
    <t>Exposed credentials can enable follow-on compromise and incident-response costs.</t>
  </si>
  <si>
    <t>Loss of confidentiality can force containment, credential rotation, and service recovery.</t>
  </si>
  <si>
    <t>The source explicitly treats cellular telemetry and credentials as confidentiality assets.</t>
  </si>
  <si>
    <t>mTLS/TLS, certificate validation, key rotation, secure credential storage, network isolation</t>
  </si>
  <si>
    <t>4G modem/network stack; Far Edge credentials; cloud ingress endpoint</t>
  </si>
  <si>
    <t>Protect cellular traffic even though the network itself is outside direct application control.</t>
  </si>
  <si>
    <t>Maintain confidentiality and endpoint authenticity for 4G telemetry.</t>
  </si>
  <si>
    <t>T-24 - Cloud connectivity</t>
  </si>
  <si>
    <t>RF jamming or network disruption can prevent the device from reaching the cloud.</t>
  </si>
  <si>
    <t>4G network path → Cloud</t>
  </si>
  <si>
    <t>Cellular RF jamming or network-level disruption breaks remote connectivity.</t>
  </si>
  <si>
    <t>Remote detection of hazardous conditions may be delayed or unavailable.</t>
  </si>
  <si>
    <t>A cloud-connectivity outage affects remote service availability and may require operational recovery.</t>
  </si>
  <si>
    <t>The remote monitoring channel is impaired until connectivity is restored.</t>
  </si>
  <si>
    <t>Connectivity health monitoring, buffering/store-and-forward, redundant path, retry/backoff, outage alerts</t>
  </si>
  <si>
    <t>4G path; Far Edge; cloud ingress; dual-path failover/synchronization</t>
  </si>
  <si>
    <t>Use local buffering and LoRaWAN redundancy so temporary cellular loss does not silently discard hazard data.</t>
  </si>
  <si>
    <t>Maintain cloud connectivity or clearly indicate loss of remote monitoring availability.</t>
  </si>
  <si>
    <t>T-25 - Cloud-bound telemetry</t>
  </si>
  <si>
    <t>Telemetry packets altered or injected on the 4G path can cause the cloud to accept manipulated measurements when integrity/freshness checks are weak.</t>
  </si>
  <si>
    <t>A cellular-path attacker modifies or injects packets where end-to-end authenticity/replay protection is inadequate.</t>
  </si>
  <si>
    <t>Manipulated cloud-bound values can suppress or fabricate hazardous environmental conditions.</t>
  </si>
  <si>
    <t>Cloud records and downstream services can be corrupted, requiring remediation and recovery.</t>
  </si>
  <si>
    <t>The cloud receives false or incomplete telemetry and may present incorrect system state.</t>
  </si>
  <si>
    <t>The primary damage is integrity/authenticity rather than privacy.</t>
  </si>
  <si>
    <t>End-to-end signed/MACed payloads, mTLS, freshness/sequence checks, certificate pinning, ingress validation</t>
  </si>
  <si>
    <t>4G transport; Far Edge; cloud API/ingestion; telemetry validation</t>
  </si>
  <si>
    <t>Make security properties end-to-end so transport compromise cannot create accepted forged telemetry.</t>
  </si>
  <si>
    <t>Preserve integrity, authenticity and freshness of cloud-bound measurements.</t>
  </si>
  <si>
    <t>T-26 - LoRaWAN telemetry availability</t>
  </si>
  <si>
    <t>LoRa RF jamming or interference can prevent valid frames from reaching the gateway and removes redundant telemetry.</t>
  </si>
  <si>
    <t>IUC ↔ LoRaWAN RF → Gateway</t>
  </si>
  <si>
    <t>RF jamming or deliberate interference prevents LoRa telemetry frames from reaching the gateway.</t>
  </si>
  <si>
    <t>The loss of one path reduces monitoring resilience and can matter during other simultaneous outages.</t>
  </si>
  <si>
    <t>The source describes loss/manipulation of the redundant telemetry channel rather than direct financial harm.</t>
  </si>
  <si>
    <t>LoRaWAN becomes unavailable while other telemetry paths may continue operating.</t>
  </si>
  <si>
    <t>No direct privacy consequence is identified for a pure availability attack.</t>
  </si>
  <si>
    <t>RF interference detection, adaptive channel handling, gateway health monitoring, buffering, failover alerts</t>
  </si>
  <si>
    <t>LoRaWAN RF channel; IUC LoRa interface; LoRa Gateway; dual-path failover</t>
  </si>
  <si>
    <t>Redundancy only helps if the system detects and reports loss of the LoRa path.</t>
  </si>
  <si>
    <t>Maintain LoRaWAN telemetry availability and detect interference.</t>
  </si>
  <si>
    <t>T-27 - LoRa sensor/telemetry identity and freshness</t>
  </si>
  <si>
    <t>Previously valid LoRaWAN application messages can be replayed or forged so stale telemetry appears current.</t>
  </si>
  <si>
    <t>IUC ↔ LoRaWAN → Gateway/Edge → Cloud</t>
  </si>
  <si>
    <t>Captured valid LoRaWAN application traffic is replayed or otherwise made to appear as current trusted telemetry.</t>
  </si>
  <si>
    <t>Stale or fabricated values can suppress detection of a current environmental hazard.</t>
  </si>
  <si>
    <t>Incorrect LPWAN telemetry can require investigation and data correction.</t>
  </si>
  <si>
    <t>The redundant path can deliver false measurements while appearing operational.</t>
  </si>
  <si>
    <t>No direct privacy consequence is identified.</t>
  </si>
  <si>
    <t>Frame/application counters, freshness windows, end-to-end authenticity, gateway identity validation, anomaly detection</t>
  </si>
  <si>
    <t>IUC LoRa stack; LoRa Gateway; edge processing; cloud ingestion</t>
  </si>
  <si>
    <t>The source explicitly calls out fresh versus replayed messages and legitimate versus compromised gateway-originated traffic.</t>
  </si>
  <si>
    <t>Distinguish genuine and fresh LoRaWAN messages from fabricated or replayed traffic.</t>
  </si>
  <si>
    <t>T-28 - Environmental telemetry and device identifiers</t>
  </si>
  <si>
    <t>Passive observation of LoRaWAN traffic can reveal environmental information, device identifiers, and network metadata.</t>
  </si>
  <si>
    <t>LoRaWAN RF channel → observer</t>
  </si>
  <si>
    <t>An unauthorized party passively observes LoRa RF traffic and extracts metadata or identifiers.</t>
  </si>
  <si>
    <t>The primary consequence is exposure of information rather than direct physical damage.</t>
  </si>
  <si>
    <t>Disclosure can require credential/device remediation and privacy response.</t>
  </si>
  <si>
    <t>Exposure of telemetry or identifiers can reduce trust and increase operational handling requirements.</t>
  </si>
  <si>
    <t>The source explicitly identifies environmental telemetry and device identifiers as confidentiality assets.</t>
  </si>
  <si>
    <t>Link/application-layer encryption, metadata minimization, key management, device identity protection</t>
  </si>
  <si>
    <t>LoRaWAN RF channel; device identifiers; LoRa Gateway; network metadata</t>
  </si>
  <si>
    <t>Protect confidentiality beyond the minimum needed to route LPWAN traffic and avoid unnecessary metadata exposure.</t>
  </si>
  <si>
    <t>Preserve confidentiality of environmental telemetry and device/network identifiers.</t>
  </si>
  <si>
    <t>T-29 - LoRa application data</t>
  </si>
  <si>
    <t>Manipulation of LoRa traffic can alter application data so that false telemetry is accepted by downstream systems.</t>
  </si>
  <si>
    <t>IUC ↔ LoRaWAN → Gateway → Edge</t>
  </si>
  <si>
    <t>An attacker manipulates LoRa traffic where end-to-end integrity/authentication is insufficient.</t>
  </si>
  <si>
    <t>Accepted false data can produce incorrect alarms or suppress hazardous conditions.</t>
  </si>
  <si>
    <t>Corrupted LPWAN data can propagate into cloud records and require recovery.</t>
  </si>
  <si>
    <t>The monitoring function can consume manipulated readings from the redundant path.</t>
  </si>
  <si>
    <t>No direct privacy effect is identified for tampering.</t>
  </si>
  <si>
    <t>End-to-end integrity/authentication, application-layer signatures/MACs, freshness, source validation</t>
  </si>
  <si>
    <t>LoRa application protocol; IUC; Gateway; LoRa Edge; cloud ingress</t>
  </si>
  <si>
    <t>Authenticate application data rather than trusting the transport/gateway alone.</t>
  </si>
  <si>
    <t>Prevent acceptance of modified LoRa application data; preserve integrity and authenticity end-to-end.</t>
  </si>
  <si>
    <t>T-30 - LoRa Gateway credentials and routing/forwarding functions</t>
  </si>
  <si>
    <t>A compromised LoRa Gateway can gain privileged access to routing/configuration and manipulate or expose LPWAN traffic.</t>
  </si>
  <si>
    <t>LoRaWAN → LoRa Gateway compromise → LoRa Edge/Cloud</t>
  </si>
  <si>
    <t>The Gateway is compromised and used with elevated privileges for forwarding, configuration, or network access.</t>
  </si>
  <si>
    <t>A gateway is a trusted point on the redundant path and can be used to manipulate hazard telemetry.</t>
  </si>
  <si>
    <t>Compromise can disrupt LPWAN service and require gateway replacement/recovery.</t>
  </si>
  <si>
    <t>Gateway manipulation can affect routing and delivery of important telemetry.</t>
  </si>
  <si>
    <t>Gateway credentials, identifiers, and forwarded environmental information may be exposed.</t>
  </si>
  <si>
    <t>Least privilege, secure boot, signed firmware, mTLS, credential isolation, gateway attestation, network segmentation</t>
  </si>
  <si>
    <t>LoRa Gateway; gateway credentials; routing tables; LoRa Edge connection</t>
  </si>
  <si>
    <t>Treat the Gateway as a trust boundary whose compromise can invalidate LPWAN redundancy.</t>
  </si>
  <si>
    <t>Constrain gateway privileges and prevent compromised gateway access from becoming a trusted backend identity.</t>
  </si>
  <si>
    <t>T-31 - Gateway-to-edge telemetry</t>
  </si>
  <si>
    <t>A compromised gateway or communication path can modify, duplicate, or suppress LoRa telemetry before the LoRa Edge Server.</t>
  </si>
  <si>
    <t>LoRa Gateway → LoRa Edge Server</t>
  </si>
  <si>
    <t>A compromised gateway or communication path alters, duplicates, or suppresses LoRa telemetry delivered to the edge server.</t>
  </si>
  <si>
    <t>Manipulated LPWAN data can contribute to false hazard decisions.</t>
  </si>
  <si>
    <t>The edge-side telemetry stream can become inconsistent or incomplete and require recovery.</t>
  </si>
  <si>
    <t>The redundant monitoring path is impaired by data corruption at the gateway-to-edge boundary.</t>
  </si>
  <si>
    <t>End-to-end payload authentication, sequence/freshness checks, gateway attestation, duplicate detection</t>
  </si>
  <si>
    <t>LoRa Gateway; edge transport; LoRa Edge Server; telemetry validation</t>
  </si>
  <si>
    <t>Ensure the LoRa Edge Server can distinguish legitimate gateway-originated traffic from manipulated traffic.</t>
  </si>
  <si>
    <t>Maintain integrity, authenticity and freshness of gateway-to-edge telemetry.</t>
  </si>
  <si>
    <t>T-32 - LoRa Edge Server, credentials and telemetry processing</t>
  </si>
  <si>
    <t>Compromise of the LoRa Edge Server can provide privileged control of LPWAN processing, credentials, and telemetry forwarding.</t>
  </si>
  <si>
    <t>LoRa Edge Server compromise → processing/credentials → Cloud</t>
  </si>
  <si>
    <t>The attacker obtains elevated privileges at the LPWAN edge-processing point.</t>
  </si>
  <si>
    <t>Privileged manipulation can produce false or suppressed environmental alarms.</t>
  </si>
  <si>
    <t>The edge server is a critical backend-side processing point and compromise can require broad recovery.</t>
  </si>
  <si>
    <t>Telemetry processing and forwarding can be systematically manipulated.</t>
  </si>
  <si>
    <t>Credentials and environmental telemetry handled by the edge server may be exposed.</t>
  </si>
  <si>
    <t>Least privilege, hardened services, secure boot/updates, mTLS, credential isolation, monitoring and attestation</t>
  </si>
  <si>
    <t>LoRa Edge Server; credential store; telemetry processing; cloud interface</t>
  </si>
  <si>
    <t>The source describes the LoRa Edge Server as a trust boundary capable of manipulation and lateral movement.</t>
  </si>
  <si>
    <t>Limit edge-server privileges and protect credentials and telemetry processing from compromise.</t>
  </si>
  <si>
    <t>T-33 - Cloud-bound LoRa telemetry</t>
  </si>
  <si>
    <t>A compromised LoRa Edge Server can selectively modify or suppress messages before delivery to the cloud.</t>
  </si>
  <si>
    <t>LoRa Edge Server → Cloud</t>
  </si>
  <si>
    <t>The attacker uses the compromised edge server to selectively alter or suppress cloud-bound LoRa telemetry.</t>
  </si>
  <si>
    <t>Selective suppression can hide hazardous conditions from cloud consumers.</t>
  </si>
  <si>
    <t>Cloud-side data can be incomplete or false and require restoration or reconciliation.</t>
  </si>
  <si>
    <t>The LPWAN path remains apparently available while the data stream is persistently manipulated.</t>
  </si>
  <si>
    <t>End-to-end message signing/MAC, freshness checks, edge attestation, selective-drop monitoring, cloud-side validation</t>
  </si>
  <si>
    <t>LoRa Edge Server; cloud ingress; LoRa telemetry protocol</t>
  </si>
  <si>
    <t>Do not trust an intermediate edge processor as the sole source of telemetry integrity.</t>
  </si>
  <si>
    <t>Preserve end-to-end integrity/authenticity of LoRa telemetry to the cloud.</t>
  </si>
  <si>
    <t>T-34 - Cloud credentials/API trust relationships</t>
  </si>
  <si>
    <t>Compromised Far Edge or LoRa Edge components can use tokens, certificates, or overly broad services to move laterally toward cloud services.</t>
  </si>
  <si>
    <t>Far Edge/LoRa Edge → credentials/tokens → Cloud</t>
  </si>
  <si>
    <t>An intermediate trust boundary is compromised and used for lateral movement toward cloud APIs or services.</t>
  </si>
  <si>
    <t>Lateral cloud compromise can enable system-wide telemetry or alarm manipulation.</t>
  </si>
  <si>
    <t>Cloud trust relationships may require broad credential revocation and service recovery.</t>
  </si>
  <si>
    <t>Compromise crosses a major trust boundary and can affect many monitoring functions.</t>
  </si>
  <si>
    <t>Cloud credentials, tokens and certificates are confidentiality assets that can expose further systems.</t>
  </si>
  <si>
    <t>Least privilege, short-lived tokens, certificate scoping, workload identity, network segmentation, attestation</t>
  </si>
  <si>
    <t>Far Edge; LoRa Edge Server; cloud API credentials; certificates/tokens; trust policy</t>
  </si>
  <si>
    <t>The source highlights lateral movement using credentials and overly broad service permissions.</t>
  </si>
  <si>
    <t>Constrain cloud trust relationships so intermediate-node compromise cannot become broad cloud access.</t>
  </si>
  <si>
    <t>T-35 - Stored telemetry, alarm state and device state</t>
  </si>
  <si>
    <t>A compromised cloud API or service can modify environmental measurements, timestamps, alarm state, or device associations.</t>
  </si>
  <si>
    <t>Cloud Server API → telemetry database/alarm service</t>
  </si>
  <si>
    <t>The attacker uses a cloud API or service to alter trusted stored telemetry and state.</t>
  </si>
  <si>
    <t>System-wide false measurements or alarms can lead users to make unsafe environmental decisions.</t>
  </si>
  <si>
    <t>Persistent cloud data manipulation can require broad remediation, restoration, and incident response.</t>
  </si>
  <si>
    <t>The cloud can become the source of falsified system state for all downstream consumers.</t>
  </si>
  <si>
    <t>Cloud state may include historical monitoring information and associations that can expose sensitive operational context.</t>
  </si>
  <si>
    <t>API authorization, input validation, signed records, database integrity controls, immutable backups, change monitoring</t>
  </si>
  <si>
    <t>Cloud API; telemetry database; alarm-processing service; device-state store</t>
  </si>
  <si>
    <t>Treat cloud data and alarm state as security-critical records and validate every write.</t>
  </si>
  <si>
    <t>Prevent unauthorized modification of stored telemetry, alarm state and device associations.</t>
  </si>
  <si>
    <t>T-36 - User/service accounts and authorization state</t>
  </si>
  <si>
    <t>Authorization bypass or compromised service/user identity can grant privileges beyond the intended role.</t>
  </si>
  <si>
    <t>Cloud Server authentication/API → user/service account → protected functions</t>
  </si>
  <si>
    <t>An attacker bypasses authorization or compromises an account/service identity and obtains a more privileged role.</t>
  </si>
  <si>
    <t>Unauthorized privileged access may allow telemetry or alarm manipulation that reaches users.</t>
  </si>
  <si>
    <t>Account takeover and privilege abuse can require organization-wide credential reset and service recovery.</t>
  </si>
  <si>
    <t>Privileged account misuse can impair multiple cloud monitoring functions.</t>
  </si>
  <si>
    <t>Authentication credentials and authorization state are explicit security assets in the source.</t>
  </si>
  <si>
    <t>RBAC/least privilege, MFA, short-lived tokens, strong authorization checks, credential rotation, anomaly detection</t>
  </si>
  <si>
    <t>Cloud authentication/API; identity store; authorization service; privileged telemetry/alarm APIs</t>
  </si>
  <si>
    <t>Authorization must be enforced server-side and scoped to the minimum required function.</t>
  </si>
  <si>
    <t>Prevent privilege escalation and unauthorized use of user/service identities.</t>
  </si>
  <si>
    <t>T-37 - Telemetry database, GPS/location information and user information</t>
  </si>
  <si>
    <t>Unauthorized cloud access can expose historical measurements, GPS information, device data, user data, and operational metadata.</t>
  </si>
  <si>
    <t>Cloud Server → telemetry database/identity data → unauthorized user</t>
  </si>
  <si>
    <t>An attacker accesses cloud data stores or services without authorization.</t>
  </si>
  <si>
    <t>The direct source consequence is information exposure rather than immediate physical harm.</t>
  </si>
  <si>
    <t>Cloud data exposure can create notification, investigation, remediation, contractual, and regulatory costs.</t>
  </si>
  <si>
    <t>Disclosure can require containment and service changes but does not by itself stop monitoring.</t>
  </si>
  <si>
    <t>The source explicitly identifies historical measurements, GPS information, device data and user information as confidentiality assets.</t>
  </si>
  <si>
    <t>Data-at-rest encryption, RBAC, database segmentation, key management, access logging, retention minimization</t>
  </si>
  <si>
    <t>Cloud telemetry database; GPS/location store; user/identity store; APIs</t>
  </si>
  <si>
    <t>Limit data exposure using least-privilege access and minimize stored sensitive history where not required.</t>
  </si>
  <si>
    <t>Protect confidentiality of historical telemetry, location and user information.</t>
  </si>
  <si>
    <t>T-38 - Backend telemetry/dashboard service</t>
  </si>
  <si>
    <t>Cloud API, ingestion, or data services can be exhausted or disrupted so dashboards and remote monitoring become unavailable.</t>
  </si>
  <si>
    <t>Internet → Cloud APIs/ingestion/dashboard</t>
  </si>
  <si>
    <t>Resource exhaustion or malicious disruption makes cloud services unavailable.</t>
  </si>
  <si>
    <t>Loss of cloud service can prevent users from receiving hazardous-condition information remotely.</t>
  </si>
  <si>
    <t>A cloud outage can affect service availability and create significant recovery/continuity costs.</t>
  </si>
  <si>
    <t>Backend processing and user-facing monitoring are unavailable during the disruption.</t>
  </si>
  <si>
    <t>DDoS protection, rate limiting, autoscaling, health monitoring, multi-zone resilience, queueing and failover</t>
  </si>
  <si>
    <t>Cloud API gateway; ingestion services; database; dashboard/alert service</t>
  </si>
  <si>
    <t>Protect the backend availability because cloud monitoring is a system-wide consumer of both telemetry paths.</t>
  </si>
  <si>
    <t>Maintain availability of telemetry ingestion, alarm processing and dashboard services.</t>
  </si>
  <si>
    <t>T-39 - Security/audit records</t>
  </si>
  <si>
    <t>Modified or deleted audit records can hide telemetry manipulation, account access, or security-relevant actions.</t>
  </si>
  <si>
    <t>Cloud logging/audit subsystem ← cloud services/accounts</t>
  </si>
  <si>
    <t>An attacker changes, deletes, or suppresses records related to telemetry or account actions.</t>
  </si>
  <si>
    <t>Loss of trustworthy audit evidence can delay detection of security-relevant manipulation that affects safety monitoring.</t>
  </si>
  <si>
    <t>Poor auditability can increase investigation, recovery, and compliance costs.</t>
  </si>
  <si>
    <t>Compromised logs reduce the ability to operate and investigate the monitoring system reliably.</t>
  </si>
  <si>
    <t>The primary issue is traceability rather than exposure of private information.</t>
  </si>
  <si>
    <t>Immutable/tamper-evident logs, remote log shipping, append-only storage, time synchronization, privileged log access controls</t>
  </si>
  <si>
    <t>Cloud logging/audit subsystem; identity service; telemetry services; security monitoring</t>
  </si>
  <si>
    <t>Make audit records independently protected so the component under investigation cannot erase its own evidence.</t>
  </si>
  <si>
    <t>Ensure security-relevant actions and telemetry changes remain attributable and tamper-evident.</t>
  </si>
  <si>
    <t>T-40 - User identity, dashboard data and session</t>
  </si>
  <si>
    <t>Spoofing / Tampering</t>
  </si>
  <si>
    <t>A MitM can impersonate an endpoint or manipulate cloud-user traffic so the user sees fabricated data or interacts with an attacker-controlled endpoint.</t>
  </si>
  <si>
    <t>Cloud Server ↔ User</t>
  </si>
  <si>
    <t>A network attacker between user and cloud impersonates an endpoint or alters the protected session when transport protection is insufficient.</t>
  </si>
  <si>
    <t>Fabricated alarm states or telemetry presented to the user can lead to unsafe environmental decisions.</t>
  </si>
  <si>
    <t>Session compromise can cause incident response and unauthorized actions.</t>
  </si>
  <si>
    <t>The user-facing monitoring function can present or accept manipulated state.</t>
  </si>
  <si>
    <t>User identity and session material are security-sensitive assets exposed by this attack class.</t>
  </si>
  <si>
    <t>TLS with strong certificate validation, HSTS, secure session cookies/tokens, endpoint authentication, anti-MitM controls</t>
  </si>
  <si>
    <t>Cloud server; user application/browser; session management; dashboard APIs</t>
  </si>
  <si>
    <t>The source identifies Cloud↔User MitM as a path to impersonation and manipulation.</t>
  </si>
  <si>
    <t>Authenticate both endpoints and protect dashboard sessions against interception and modification.</t>
  </si>
  <si>
    <t>T-41 - Authentication/session credentials</t>
  </si>
  <si>
    <t>Authenticity, Integrity, Confidentiality</t>
  </si>
  <si>
    <t>Stolen credentials, bearer tokens, cookies, or equivalent session material can let an attacker operate as the legitimate user.</t>
  </si>
  <si>
    <t>Cloud Server ↔ User → stolen session/token → privileged user functions</t>
  </si>
  <si>
    <t>The attacker obtains authenticated session material and uses it as the legitimate user identity.</t>
  </si>
  <si>
    <t>An authenticated attacker may access or manipulate dashboard/alarm information.</t>
  </si>
  <si>
    <t>Account/session takeover can require credential reset, response, and service recovery.</t>
  </si>
  <si>
    <t>A stolen authenticated session can affect the user's authorized access to the monitoring service.</t>
  </si>
  <si>
    <t>The source explicitly states that stolen sessions can expose user identity, authentication material, and authorization state.</t>
  </si>
  <si>
    <t>MFA, short-lived tokens, token binding where feasible, secure cookies, session rotation/revocation, anomaly detection</t>
  </si>
  <si>
    <t>Cloud identity service; session manager; user endpoint; authorization controls</t>
  </si>
  <si>
    <t>Treat session material as an authentication asset and minimize its lifetime and replayability.</t>
  </si>
  <si>
    <t>Prevent session hijacking and unauthorized use of authenticated identities.</t>
  </si>
  <si>
    <t>T-42 - User credentials/session data and telemetry</t>
  </si>
  <si>
    <t>Insecure endpoint, transport, or session handling can expose user authentication information and environmental telemetry.</t>
  </si>
  <si>
    <t>Authentication information or environmental information is exposed through insecure transport, endpoint compromise, or session handling.</t>
  </si>
  <si>
    <t>The source focuses on information exposure rather than direct safety harm.</t>
  </si>
  <si>
    <t>Credential and data exposure can lead to response, reset, notification, and remediation costs.</t>
  </si>
  <si>
    <t>Disclosure can require changes to session and endpoint handling but does not directly disable monitoring.</t>
  </si>
  <si>
    <t>The source explicitly identifies user credentials/session data and telemetry as confidentiality assets.</t>
  </si>
  <si>
    <t>TLS, secure session management, secure endpoint storage, credential protection, log scrubbing, data minimization</t>
  </si>
  <si>
    <t>User endpoint; session management; cloud API; dashboard telemetry</t>
  </si>
  <si>
    <t>Protect both authentication information and environmental data throughout the user session.</t>
  </si>
  <si>
    <t>Preserve confidentiality of credentials, sessions and telemetry presented to users.</t>
  </si>
  <si>
    <t>T-43 - Dashboard telemetry and alarm presentation</t>
  </si>
  <si>
    <t>Manipulated backend/application responses can cause users to see stale, fabricated, or selectively altered values and alarm states.</t>
  </si>
  <si>
    <t>Cloud Server ↔ User → dashboard</t>
  </si>
  <si>
    <t>Backend or application responses are modified so the user sees incorrect telemetry or alarm states.</t>
  </si>
  <si>
    <t>A false dashboard alarm state can cause an unsafe decision, including a false-safe indication.</t>
  </si>
  <si>
    <t>Dashboard manipulation undermines the operational monitoring service and may require investigation/recovery.</t>
  </si>
  <si>
    <t>The user-facing monitoring function presents incorrect environmental information.</t>
  </si>
  <si>
    <t>No direct privacy consequence is identified for dashboard tampering.</t>
  </si>
  <si>
    <t>Response integrity, API authorization, TLS, signed critical data, client validation, anti-caching of stale safety data</t>
  </si>
  <si>
    <t>Dashboard UI; cloud APIs; alarm presentation; session management</t>
  </si>
  <si>
    <t>Protect the user-facing presentation because the source identifies dashboard data and alarm state as high-value assets.</t>
  </si>
  <si>
    <t>Ensure dashboard telemetry and alarm presentation are authentic, current and integral.</t>
  </si>
  <si>
    <t>T-44 - Dashboard and alert delivery</t>
  </si>
  <si>
    <t>User-facing services or alert delivery can become unavailable, preventing users from receiving monitoring information or alarms.</t>
  </si>
  <si>
    <t>The user-facing service or alert-delivery channel is disrupted or unavailable.</t>
  </si>
  <si>
    <t>Unavailable alerts can prevent timely user awareness of hazardous environmental conditions.</t>
  </si>
  <si>
    <t>Loss of the user service can trigger service continuity and recovery costs.</t>
  </si>
  <si>
    <t>Remote user monitoring and alert delivery are unavailable.</t>
  </si>
  <si>
    <t>High-availability front ends, alert-channel redundancy, DDoS protection, health monitoring, local Status Display fallback</t>
  </si>
  <si>
    <t>Cloud dashboard; notification/alert service; user session; Status Display fallback</t>
  </si>
  <si>
    <t>Use redundant alerting and a local safety-relevant display so cloud-user outage does not eliminate all warning channels.</t>
  </si>
  <si>
    <t>Maintain availability and timely delivery of user-facing telemetry and alarms.</t>
  </si>
  <si>
    <t>T-45 - Displayed environmental/alarm state</t>
  </si>
  <si>
    <t>Manipulation of the IUC-to-display communication can make the Status Display show an incorrect environmental or alarm state.</t>
  </si>
  <si>
    <t>IUC ↔ Status Display</t>
  </si>
  <si>
    <t>The local communication to the Status Display is modified so the displayed state differs from the trusted monitoring state.</t>
  </si>
  <si>
    <t>The source explicitly treats the Status Display as a safety-relevant information actuator; a false-safe display can hide a hazard.</t>
  </si>
  <si>
    <t>Incorrect local display behavior can require service, inspection, and remediation.</t>
  </si>
  <si>
    <t>The local alarm/display function can be materially impaired by presenting incorrect state.</t>
  </si>
  <si>
    <t>Authenticated local protocol, integrity protection, display state validation, secure local bus, fail-safe display behavior</t>
  </si>
  <si>
    <t>IUC; Status Display; local communication bus; alarm-state data</t>
  </si>
  <si>
    <t>Because the display is safety-relevant in the source, its data path requires authenticity and integrity independent of backend security.</t>
  </si>
  <si>
    <t>Prevent false environmental/alarm presentation; preserve integrity and authenticity to the display.</t>
  </si>
  <si>
    <t>T-46 - Local alarm/display availability</t>
  </si>
  <si>
    <t>Interrupting the IUC-to-display link can leave the Status Display unavailable or non-informative during a hazard.</t>
  </si>
  <si>
    <t>IUC → Status Display</t>
  </si>
  <si>
    <t>The display communication is interrupted or driven into an unavailable/non-informative state.</t>
  </si>
  <si>
    <t>Loss of a local warning channel can prevent occupants/operators from receiving a hazardous-gas warning.</t>
  </si>
  <si>
    <t>Local display outage requires maintenance and reduces service availability.</t>
  </si>
  <si>
    <t>The local safety-relevant information actuator is unavailable.</t>
  </si>
  <si>
    <t>Link supervision, watchdogs, fail-safe default state, redundant alert indication, tamper detection</t>
  </si>
  <si>
    <t>IUC; Status Display; local bus; alarm presentation logic</t>
  </si>
  <si>
    <t>A non-informative display should not be interpreted as a safe state; detect and fail visibly.</t>
  </si>
  <si>
    <t>Maintain availability of local alarm indication and fail safely on communication loss.</t>
  </si>
  <si>
    <t>T-47 - Cross-path data consistency and source authenticity</t>
  </si>
  <si>
    <t>Compromise of one telemetry path can create conflicting data between Wi-Fi/4G and LoRaWAN and cause the backend to accept manipulated values.</t>
  </si>
  <si>
    <t>Wi-Fi/4G path ↔ LoRaWAN path → Edge/Cloud</t>
  </si>
  <si>
    <t>An attacker compromises one path so it conflicts with the independent path and the backend does not detect the inconsistency.</t>
  </si>
  <si>
    <t>The architecture's redundancy is undermined if inconsistent values are accepted and a false hazard state is presented.</t>
  </si>
  <si>
    <t>Data reconciliation, investigation, and service recovery can be required.</t>
  </si>
  <si>
    <t>The cross-path consistency function fails to provide the intended resilience.</t>
  </si>
  <si>
    <t>Cross-path consistency checks, independent source authentication, timestamps/sequence numbers, discrepancy alarms</t>
  </si>
  <si>
    <t>Wi-Fi/4G path; LoRaWAN path; edge/cloud reconciliation; alarm-processing</t>
  </si>
  <si>
    <t>Redundancy is only security-effective when the backend can detect inconsistent sources, fresh/replayed data, and compromised intermediates.</t>
  </si>
  <si>
    <t>Ensure independent telemetry paths remain independently authenticated and cross-validated.</t>
  </si>
  <si>
    <t>T-48 - Monitoring redundancy / dual-path failover</t>
  </si>
  <si>
    <t>Simultaneous disruption of Wi-Fi/4G and LoRaWAN removes telemetry redundancy and can prevent remote detection of a hazardous condition.</t>
  </si>
  <si>
    <t>Wi-Fi/4G path + LoRaWAN path → Cloud</t>
  </si>
  <si>
    <t>The attacker disrupts both communications paths or the failover/synchronization mechanism so path resilience is eliminated.</t>
  </si>
  <si>
    <t>The PDF explicitly identifies loss of both telemetry paths as a damage scenario that can prevent remote detection of a hazardous condition.</t>
  </si>
  <si>
    <t>The complete remote monitoring service loses its intended redundancy and may require broad recovery.</t>
  </si>
  <si>
    <t>Remote telemetry availability is lost across both paths.</t>
  </si>
  <si>
    <t>Independent failover controls, RF/network monitoring, local buffering, path diversity, outage detection and alerting</t>
  </si>
  <si>
    <t>Wi-Fi/4G interfaces; LoRaWAN interface; failover/synchronization logic; cloud ingestion</t>
  </si>
  <si>
    <t>Protect the redundancy mechanism itself so an attacker cannot disable both paths or their synchronization.</t>
  </si>
  <si>
    <t>Maintain monitoring redundancy and promptly detect loss of all telemetry paths.</t>
  </si>
  <si>
    <t>T-49 - Device trust relationships, credentials and keys</t>
  </si>
  <si>
    <t>Confidentiality, Integrity, Authenticity</t>
  </si>
  <si>
    <t>A compromised intermediate component can become a stepping stone for lateral movement toward the IUC, other edge components, or cloud infrastructure.</t>
  </si>
  <si>
    <t>IUC / Far Edge / LoRa Edge trust boundary → credentials/keys → adjacent component/cloud</t>
  </si>
  <si>
    <t>An attacker abuses an intermediate component's trust relationships or credentials to move laterally across security boundaries.</t>
  </si>
  <si>
    <t>Lateral movement can reach trusted telemetry and alarm-processing functions.</t>
  </si>
  <si>
    <t>Compromise can spread across multiple components and require broad containment/recovery.</t>
  </si>
  <si>
    <t>Multiple monitoring functions may be impaired when trust boundaries are crossed.</t>
  </si>
  <si>
    <t>Credentials and cryptographic keys are explicit security assets in this threat.</t>
  </si>
  <si>
    <t>Network segmentation, zero-trust service identity, least privilege, key isolation/rotation, attestation, certificate scoping</t>
  </si>
  <si>
    <t>IUC; Far Edge; LoRa Edge Server; credentials/keys; cloud trust boundaries</t>
  </si>
  <si>
    <t>Separate trust zones so compromise of one intermediate component cannot automatically become privileged access to others.</t>
  </si>
  <si>
    <t>Constrain lateral movement and protect device trust relationships, credentials and keys.</t>
  </si>
  <si>
    <t>T-50 - End-to-end measurement integrity/authenticity</t>
  </si>
  <si>
    <t>A measurement can be selectively modified somewhere between sensor and user while valid-looking transport remains intact, causing the cloud and user to trust false data.</t>
  </si>
  <si>
    <t>Sensor → IUC → edge → cloud → user</t>
  </si>
  <si>
    <t>The attacker selectively changes a measurement while preserving apparently valid transport so manipulated data is accepted downstream.</t>
  </si>
  <si>
    <t>The source identifies end-to-end manipulation as capable of causing system-wide false or suppressed alarms and unsafe decisions.</t>
  </si>
  <si>
    <t>Persistent false telemetry can corrupt cloud history and require broad investigation and recovery.</t>
  </si>
  <si>
    <t>The end-to-end monitoring chain can be trusted incorrectly even though each individual link appears available.</t>
  </si>
  <si>
    <t>The principal damage is integrity/authenticity; no direct privacy effect is identified.</t>
  </si>
  <si>
    <t>End-to-end signatures/MACs, freshness/sequence protection, source binding, path-independent validation, anomaly detection</t>
  </si>
  <si>
    <t>Sensors; IUC; Far Edge/LoRa Edge; cloud ingestion; dashboard/Status Display</t>
  </si>
  <si>
    <t>The source stresses that integrity/authenticity must follow the physical measurement all the way to the alarm consumer.</t>
  </si>
  <si>
    <t>Preserve end-to-end measurement integrity, authenticity and freshness from sensor to user/alarm consumer.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</si>
</sst>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font>
    <font>
      <sz val="10"/>
      <color theme="1"/>
      <name val="Arial"/>
    </font>
    <font>
      <b/>
      <i/>
      <sz val="10"/>
      <color rgb="FF000000"/>
      <name val="Verdana"/>
    </font>
    <font>
      <b/>
      <sz val="10"/>
      <color theme="1"/>
      <name val="Arial"/>
    </font>
    <font>
      <sz val="10"/>
      <color rgb="FF000000"/>
      <name val="Verdana"/>
    </font>
    <font>
      <sz val="9"/>
      <color rgb="FF1F1F1F"/>
      <name val="&quot;Google Sans&quot;"/>
    </font>
    <font>
      <sz val="10"/>
      <color rgb="FF1F1F1F"/>
      <name val="Verdana"/>
    </font>
    <font>
      <sz val="8"/>
      <color rgb="FF000000"/>
      <name val="Verdana"/>
    </font>
    <font>
      <sz val="11"/>
      <color theme="1"/>
      <name val="Calibri"/>
    </font>
    <font>
      <sz val="10"/>
      <color theme="1"/>
      <name val="Verdana"/>
    </font>
    <font>
      <sz val="10"/>
      <color rgb="FF000000"/>
      <name val="Söhne"/>
    </font>
    <font>
      <sz val="11"/>
      <color rgb="FF000000"/>
      <name val="Calibri"/>
    </font>
    <font>
      <b/>
      <sz val="10"/>
      <color theme="1"/>
      <name val="Arial"/>
    </font>
    <font>
      <sz val="10"/>
      <color theme="1"/>
      <name val="Arial"/>
    </font>
    <font>
      <b/>
      <sz val="11"/>
      <color theme="1"/>
      <name val="Calibri"/>
    </font>
    <font>
      <sz val="10"/>
      <name val="Arial"/>
    </font>
    <font>
      <b/>
      <sz val="11"/>
      <color theme="1"/>
      <name val="Arial"/>
    </font>
    <font>
      <sz val="11"/>
      <color theme="1"/>
      <name val="Arial"/>
    </font>
    <font>
      <sz val="12"/>
      <color theme="1"/>
      <name val="Arial"/>
    </font>
    <font>
      <sz val="10"/>
      <color rgb="FF000000"/>
      <name val="Arial"/>
    </font>
    <font>
      <b/>
      <i/>
      <sz val="10"/>
      <color theme="1"/>
      <name val="Verdana"/>
    </font>
    <font>
      <i/>
      <sz val="10"/>
      <color rgb="FF7F6000"/>
      <name val="Verdana"/>
    </font>
  </fonts>
  <fills count="18">
    <fill>
      <patternFill patternType="none"/>
    </fill>
    <fill>
      <patternFill patternType="gray125"/>
    </fill>
    <fill>
      <patternFill patternType="solid">
        <fgColor rgb="FFFFE599"/>
      </patternFill>
    </fill>
    <fill>
      <patternFill patternType="solid">
        <fgColor rgb="FFFFFFFF"/>
      </patternFill>
    </fill>
    <fill>
      <patternFill patternType="solid">
        <fgColor theme="0"/>
      </patternFill>
    </fill>
    <fill>
      <patternFill patternType="solid">
        <fgColor rgb="FFC0C0C0"/>
      </patternFill>
    </fill>
    <fill>
      <patternFill patternType="solid">
        <fgColor rgb="FFB7E1CD"/>
      </patternFill>
    </fill>
    <fill>
      <patternFill patternType="solid">
        <fgColor rgb="FFB7B7B7"/>
      </patternFill>
    </fill>
    <fill>
      <patternFill patternType="solid">
        <fgColor rgb="FF92D050"/>
      </patternFill>
    </fill>
    <fill>
      <patternFill patternType="solid">
        <fgColor rgb="FFFF9900"/>
      </patternFill>
    </fill>
    <fill>
      <patternFill patternType="solid">
        <fgColor rgb="FFD9D9D9"/>
      </patternFill>
    </fill>
    <fill>
      <patternFill patternType="solid">
        <fgColor rgb="FFA5A5A5"/>
      </patternFill>
    </fill>
    <fill>
      <patternFill patternType="solid">
        <fgColor rgb="FFFF7C80"/>
      </patternFill>
    </fill>
    <fill>
      <patternFill patternType="solid">
        <fgColor rgb="FFFF0000"/>
      </patternFill>
    </fill>
    <fill>
      <patternFill patternType="solid">
        <fgColor rgb="FFD8D8D8"/>
      </patternFill>
    </fill>
    <fill>
      <patternFill patternType="solid">
        <fgColor theme="6"/>
      </patternFill>
    </fill>
    <fill>
      <patternFill patternType="solid">
        <fgColor rgb="FFF7A1DA"/>
      </patternFill>
    </fill>
    <fill>
      <patternFill patternType="solid">
        <fgColor theme="0"/>
        <bgColor indexed="64"/>
      </patternFill>
    </fill>
  </fills>
  <borders count="20">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right/>
      <top/>
      <bottom style="thin">
        <color rgb="FF808080"/>
      </bottom>
      <diagonal/>
    </border>
    <border>
      <left/>
      <right style="thin">
        <color rgb="FF80808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808080"/>
      </right>
      <top style="thin">
        <color rgb="FF808080"/>
      </top>
      <bottom/>
      <diagonal/>
    </border>
    <border>
      <left/>
      <right/>
      <top/>
      <bottom/>
      <diagonal/>
    </border>
    <border>
      <left/>
      <right style="thin">
        <color rgb="FF80808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bottom/>
      <diagonal/>
    </border>
  </borders>
  <cellStyleXfs count="2">
    <xf numFmtId="0" fontId="0" fillId="0" borderId="0"/>
    <xf numFmtId="0" fontId="19" fillId="0" borderId="0"/>
  </cellStyleXfs>
  <cellXfs count="102">
    <xf numFmtId="0" fontId="0" fillId="0" borderId="0" xfId="0"/>
    <xf numFmtId="0" fontId="1" fillId="0" borderId="0" xfId="1" applyFont="1"/>
    <xf numFmtId="0" fontId="2" fillId="5" borderId="1" xfId="1" applyFont="1" applyFill="1" applyBorder="1" applyAlignment="1">
      <alignment horizontal="center"/>
    </xf>
    <xf numFmtId="0" fontId="2" fillId="5" borderId="2" xfId="1" applyFont="1" applyFill="1" applyBorder="1" applyAlignment="1">
      <alignment horizontal="center" vertical="center"/>
    </xf>
    <xf numFmtId="0" fontId="2" fillId="5" borderId="2" xfId="1" applyFont="1" applyFill="1" applyBorder="1" applyAlignment="1">
      <alignment horizontal="center"/>
    </xf>
    <xf numFmtId="0" fontId="2" fillId="2" borderId="2" xfId="1" applyFont="1" applyFill="1" applyBorder="1" applyAlignment="1">
      <alignment horizontal="center" vertical="center"/>
    </xf>
    <xf numFmtId="0" fontId="2" fillId="0" borderId="0" xfId="1" applyFont="1" applyAlignment="1">
      <alignment horizontal="center"/>
    </xf>
    <xf numFmtId="0" fontId="3" fillId="0" borderId="3" xfId="1" applyFont="1" applyBorder="1" applyAlignment="1">
      <alignment horizontal="center" vertical="center"/>
    </xf>
    <xf numFmtId="0" fontId="1" fillId="0" borderId="3" xfId="1" applyFont="1" applyBorder="1"/>
    <xf numFmtId="0" fontId="1" fillId="6" borderId="0" xfId="1" applyFont="1" applyFill="1" applyAlignment="1">
      <alignment vertical="center"/>
    </xf>
    <xf numFmtId="0" fontId="1" fillId="0" borderId="0" xfId="1" applyFont="1" applyAlignment="1">
      <alignment horizontal="left"/>
    </xf>
    <xf numFmtId="0" fontId="12" fillId="7" borderId="3" xfId="1" applyFont="1" applyFill="1" applyBorder="1" applyAlignment="1">
      <alignment horizontal="center" wrapText="1"/>
    </xf>
    <xf numFmtId="0" fontId="12" fillId="0" borderId="0" xfId="1" applyFont="1" applyAlignment="1">
      <alignment wrapText="1"/>
    </xf>
    <xf numFmtId="0" fontId="12" fillId="7" borderId="3" xfId="1" applyFont="1" applyFill="1" applyBorder="1" applyAlignment="1">
      <alignment wrapText="1"/>
    </xf>
    <xf numFmtId="0" fontId="13" fillId="0" borderId="0" xfId="1" applyFont="1"/>
    <xf numFmtId="0" fontId="13" fillId="0" borderId="3" xfId="1" applyFont="1" applyBorder="1" applyAlignment="1">
      <alignment horizontal="center" vertical="center" wrapText="1"/>
    </xf>
    <xf numFmtId="2" fontId="12" fillId="0" borderId="3" xfId="1" applyNumberFormat="1" applyFont="1" applyBorder="1" applyAlignment="1">
      <alignment horizontal="center" vertical="center" wrapText="1"/>
    </xf>
    <xf numFmtId="0" fontId="13" fillId="0" borderId="0" xfId="1" applyFont="1" applyAlignment="1">
      <alignment wrapText="1"/>
    </xf>
    <xf numFmtId="0" fontId="12" fillId="0" borderId="3" xfId="1" applyFont="1" applyBorder="1" applyAlignment="1">
      <alignment horizontal="center" wrapText="1"/>
    </xf>
    <xf numFmtId="0" fontId="13" fillId="0" borderId="0" xfId="1" applyFont="1" applyAlignment="1">
      <alignment horizontal="center" vertical="center" wrapText="1"/>
    </xf>
    <xf numFmtId="0" fontId="12" fillId="0" borderId="3" xfId="1" applyFont="1" applyBorder="1" applyAlignment="1">
      <alignment horizontal="center" vertical="center" wrapText="1"/>
    </xf>
    <xf numFmtId="0" fontId="13" fillId="0" borderId="3" xfId="1" applyFont="1" applyBorder="1" applyAlignment="1">
      <alignment wrapText="1"/>
    </xf>
    <xf numFmtId="0" fontId="12" fillId="7" borderId="3" xfId="1" applyFont="1" applyFill="1" applyBorder="1" applyAlignment="1">
      <alignment horizontal="center" vertical="center" wrapText="1"/>
    </xf>
    <xf numFmtId="2" fontId="13" fillId="0" borderId="3" xfId="1" applyNumberFormat="1" applyFont="1" applyBorder="1"/>
    <xf numFmtId="0" fontId="13" fillId="0" borderId="3" xfId="1" applyFont="1" applyBorder="1"/>
    <xf numFmtId="0" fontId="12" fillId="0" borderId="3" xfId="1" applyFont="1" applyBorder="1" applyAlignment="1">
      <alignment wrapText="1"/>
    </xf>
    <xf numFmtId="0" fontId="8" fillId="8" borderId="3" xfId="1" applyFont="1" applyFill="1" applyBorder="1"/>
    <xf numFmtId="0" fontId="8" fillId="9" borderId="3" xfId="1" applyFont="1" applyFill="1" applyBorder="1"/>
    <xf numFmtId="0" fontId="14" fillId="10" borderId="3" xfId="1" applyFont="1" applyFill="1" applyBorder="1"/>
    <xf numFmtId="0" fontId="8" fillId="12" borderId="3" xfId="1" applyFont="1" applyFill="1" applyBorder="1"/>
    <xf numFmtId="0" fontId="8" fillId="13" borderId="3" xfId="1" applyFont="1" applyFill="1" applyBorder="1"/>
    <xf numFmtId="0" fontId="13" fillId="14" borderId="3" xfId="1" applyFont="1" applyFill="1" applyBorder="1" applyAlignment="1">
      <alignment horizontal="center" vertical="center" wrapText="1"/>
    </xf>
    <xf numFmtId="0" fontId="16" fillId="0" borderId="3" xfId="1" applyFont="1" applyBorder="1" applyAlignment="1">
      <alignment vertical="center"/>
    </xf>
    <xf numFmtId="0" fontId="17" fillId="0" borderId="3" xfId="1" applyFont="1" applyBorder="1" applyAlignment="1">
      <alignment horizontal="left" vertical="center"/>
    </xf>
    <xf numFmtId="0" fontId="8" fillId="0" borderId="3" xfId="1" applyFont="1" applyBorder="1" applyAlignment="1">
      <alignment vertical="center"/>
    </xf>
    <xf numFmtId="0" fontId="8" fillId="0" borderId="3" xfId="1" applyFont="1" applyBorder="1" applyAlignment="1">
      <alignment horizontal="left" vertical="center"/>
    </xf>
    <xf numFmtId="0" fontId="13" fillId="0" borderId="3" xfId="1" applyFont="1" applyBorder="1" applyAlignment="1">
      <alignment vertical="center" wrapText="1"/>
    </xf>
    <xf numFmtId="0" fontId="12" fillId="0" borderId="8" xfId="1" applyFont="1" applyBorder="1" applyAlignment="1">
      <alignment wrapText="1"/>
    </xf>
    <xf numFmtId="0" fontId="12" fillId="0" borderId="3" xfId="1" applyFont="1" applyBorder="1"/>
    <xf numFmtId="0" fontId="12" fillId="7" borderId="13" xfId="1" applyFont="1" applyFill="1" applyBorder="1" applyAlignment="1">
      <alignment horizontal="center" wrapText="1"/>
    </xf>
    <xf numFmtId="0" fontId="12" fillId="0" borderId="3" xfId="1" applyFont="1" applyBorder="1" applyAlignment="1">
      <alignment horizontal="center" vertical="center"/>
    </xf>
    <xf numFmtId="0" fontId="18" fillId="0" borderId="0" xfId="1" applyFont="1"/>
    <xf numFmtId="0" fontId="20" fillId="5" borderId="2" xfId="1" applyFont="1" applyFill="1" applyBorder="1" applyAlignment="1">
      <alignment horizontal="center" wrapText="1"/>
    </xf>
    <xf numFmtId="0" fontId="20" fillId="5" borderId="2" xfId="1" applyFont="1" applyFill="1" applyBorder="1" applyAlignment="1">
      <alignment horizontal="center"/>
    </xf>
    <xf numFmtId="0" fontId="4" fillId="0" borderId="5" xfId="1" applyFont="1" applyBorder="1" applyAlignment="1">
      <alignment vertical="top" wrapText="1"/>
    </xf>
    <xf numFmtId="0" fontId="4" fillId="0" borderId="5" xfId="1" applyFont="1" applyBorder="1" applyAlignment="1">
      <alignment horizontal="left" vertical="top" wrapText="1"/>
    </xf>
    <xf numFmtId="0" fontId="0" fillId="0" borderId="0" xfId="1" applyFont="1" applyAlignment="1">
      <alignment vertical="top" wrapText="1"/>
    </xf>
    <xf numFmtId="0" fontId="4" fillId="15" borderId="5" xfId="1" applyFont="1" applyFill="1" applyBorder="1" applyAlignment="1">
      <alignment vertical="top" wrapText="1"/>
    </xf>
    <xf numFmtId="0" fontId="4" fillId="16" borderId="5" xfId="1" applyFont="1" applyFill="1" applyBorder="1" applyAlignment="1">
      <alignment vertical="top" wrapText="1"/>
    </xf>
    <xf numFmtId="0" fontId="4" fillId="13" borderId="5" xfId="1" applyFont="1" applyFill="1" applyBorder="1" applyAlignment="1">
      <alignment vertical="top" wrapText="1"/>
    </xf>
    <xf numFmtId="0" fontId="4" fillId="0" borderId="4" xfId="1" applyFont="1" applyBorder="1" applyAlignment="1">
      <alignment vertical="top" wrapText="1"/>
    </xf>
    <xf numFmtId="0" fontId="4" fillId="2" borderId="5" xfId="1" applyFont="1" applyFill="1" applyBorder="1" applyAlignment="1">
      <alignment vertical="top" wrapText="1"/>
    </xf>
    <xf numFmtId="0" fontId="4" fillId="0" borderId="6" xfId="1" applyFont="1" applyBorder="1" applyAlignment="1">
      <alignment vertical="top" wrapText="1"/>
    </xf>
    <xf numFmtId="0" fontId="4" fillId="0" borderId="3" xfId="1" applyFont="1" applyBorder="1" applyAlignment="1">
      <alignment vertical="top" wrapText="1"/>
    </xf>
    <xf numFmtId="0" fontId="4" fillId="3" borderId="0" xfId="1" applyFont="1" applyFill="1" applyAlignment="1">
      <alignment horizontal="left" vertical="top" wrapText="1"/>
    </xf>
    <xf numFmtId="0" fontId="4" fillId="0" borderId="1" xfId="1" applyFont="1" applyBorder="1" applyAlignment="1">
      <alignment vertical="top" wrapText="1"/>
    </xf>
    <xf numFmtId="0" fontId="5" fillId="3" borderId="0" xfId="1" applyFont="1" applyFill="1" applyAlignment="1">
      <alignment vertical="top" wrapText="1"/>
    </xf>
    <xf numFmtId="0" fontId="5" fillId="3" borderId="3" xfId="1" applyFont="1" applyFill="1" applyBorder="1" applyAlignment="1">
      <alignment vertical="top" wrapText="1"/>
    </xf>
    <xf numFmtId="0" fontId="4" fillId="0" borderId="0" xfId="1" applyFont="1" applyAlignment="1">
      <alignment horizontal="left" vertical="top" wrapText="1"/>
    </xf>
    <xf numFmtId="0" fontId="7" fillId="0" borderId="0" xfId="1" applyFont="1" applyAlignment="1">
      <alignment horizontal="left" vertical="top" wrapText="1"/>
    </xf>
    <xf numFmtId="0" fontId="8" fillId="0" borderId="0" xfId="1" applyFont="1" applyAlignment="1">
      <alignment vertical="top" wrapText="1"/>
    </xf>
    <xf numFmtId="0" fontId="6" fillId="3" borderId="3" xfId="1" applyFont="1" applyFill="1" applyBorder="1" applyAlignment="1">
      <alignment vertical="top" wrapText="1"/>
    </xf>
    <xf numFmtId="0" fontId="4" fillId="0" borderId="3" xfId="1" applyFont="1" applyBorder="1" applyAlignment="1">
      <alignment vertical="center"/>
    </xf>
    <xf numFmtId="0" fontId="4" fillId="15" borderId="3" xfId="1" applyFont="1" applyFill="1" applyBorder="1" applyAlignment="1">
      <alignment vertical="center"/>
    </xf>
    <xf numFmtId="0" fontId="4" fillId="16" borderId="3" xfId="1" applyFont="1" applyFill="1" applyBorder="1" applyAlignment="1">
      <alignment vertical="center"/>
    </xf>
    <xf numFmtId="0" fontId="4" fillId="13" borderId="3" xfId="1" applyFont="1" applyFill="1" applyBorder="1" applyAlignment="1">
      <alignment vertical="center"/>
    </xf>
    <xf numFmtId="0" fontId="4" fillId="0" borderId="14" xfId="1" applyFont="1" applyBorder="1" applyAlignment="1">
      <alignment horizontal="center" vertical="top" wrapText="1"/>
    </xf>
    <xf numFmtId="0" fontId="4" fillId="0" borderId="7" xfId="1" applyFont="1" applyBorder="1" applyAlignment="1">
      <alignment horizontal="center" vertical="top" wrapText="1"/>
    </xf>
    <xf numFmtId="0" fontId="4" fillId="0" borderId="5" xfId="1" applyFont="1" applyBorder="1" applyAlignment="1">
      <alignment horizontal="center" vertical="top" wrapText="1"/>
    </xf>
    <xf numFmtId="0" fontId="14" fillId="11" borderId="8" xfId="1" applyFont="1" applyFill="1" applyBorder="1" applyAlignment="1">
      <alignment horizontal="center" vertical="center"/>
    </xf>
    <xf numFmtId="0" fontId="15" fillId="0" borderId="13" xfId="1" applyFont="1" applyBorder="1"/>
    <xf numFmtId="0" fontId="15" fillId="0" borderId="12" xfId="1" applyFont="1" applyBorder="1"/>
    <xf numFmtId="0" fontId="14" fillId="11" borderId="9" xfId="1" applyFont="1" applyFill="1" applyBorder="1" applyAlignment="1">
      <alignment horizontal="center"/>
    </xf>
    <xf numFmtId="0" fontId="15" fillId="0" borderId="10" xfId="1" applyFont="1" applyBorder="1"/>
    <xf numFmtId="0" fontId="15" fillId="0" borderId="11" xfId="1" applyFont="1" applyBorder="1"/>
    <xf numFmtId="0" fontId="4" fillId="0" borderId="18" xfId="1" applyFont="1" applyBorder="1" applyAlignment="1">
      <alignment horizontal="left"/>
    </xf>
    <xf numFmtId="0" fontId="4" fillId="0" borderId="16" xfId="1" applyFont="1" applyBorder="1" applyAlignment="1">
      <alignment horizontal="left" vertical="top" wrapText="1"/>
    </xf>
    <xf numFmtId="0" fontId="4" fillId="0" borderId="18" xfId="1" applyFont="1" applyBorder="1" applyAlignment="1">
      <alignment horizontal="left" wrapText="1"/>
    </xf>
    <xf numFmtId="0" fontId="4" fillId="0" borderId="19" xfId="1" applyFont="1" applyBorder="1" applyAlignment="1">
      <alignment vertical="top" wrapText="1"/>
    </xf>
    <xf numFmtId="0" fontId="4" fillId="0" borderId="16" xfId="1" applyFont="1" applyBorder="1" applyAlignment="1">
      <alignment vertical="top" wrapText="1"/>
    </xf>
    <xf numFmtId="0" fontId="4" fillId="2" borderId="16" xfId="1" applyFont="1" applyFill="1" applyBorder="1" applyAlignment="1">
      <alignment vertical="top" wrapText="1"/>
    </xf>
    <xf numFmtId="0" fontId="4" fillId="0" borderId="15" xfId="1" applyFont="1" applyBorder="1" applyAlignment="1">
      <alignment vertical="top" wrapText="1"/>
    </xf>
    <xf numFmtId="0" fontId="4" fillId="0" borderId="17" xfId="1" applyFont="1" applyBorder="1" applyAlignment="1">
      <alignment vertical="top" wrapText="1"/>
    </xf>
    <xf numFmtId="0" fontId="0" fillId="0" borderId="15" xfId="0" applyBorder="1"/>
    <xf numFmtId="0" fontId="4" fillId="0" borderId="17" xfId="1" applyFont="1" applyBorder="1" applyAlignment="1">
      <alignment vertical="center"/>
    </xf>
    <xf numFmtId="0" fontId="4" fillId="0" borderId="18" xfId="1" applyFont="1" applyBorder="1" applyAlignment="1">
      <alignment vertical="center"/>
    </xf>
    <xf numFmtId="0" fontId="4" fillId="0" borderId="18" xfId="1" applyFont="1" applyBorder="1"/>
    <xf numFmtId="0" fontId="4" fillId="17" borderId="18" xfId="1" applyFont="1" applyFill="1" applyBorder="1"/>
    <xf numFmtId="0" fontId="0" fillId="0" borderId="18" xfId="0" applyBorder="1"/>
    <xf numFmtId="0" fontId="21" fillId="17" borderId="18" xfId="1" applyFont="1" applyFill="1" applyBorder="1" applyAlignment="1">
      <alignment vertical="center" wrapText="1"/>
    </xf>
    <xf numFmtId="0" fontId="6" fillId="3" borderId="18" xfId="1" applyFont="1" applyFill="1" applyBorder="1"/>
    <xf numFmtId="0" fontId="9" fillId="0" borderId="18" xfId="1" applyFont="1" applyBorder="1"/>
    <xf numFmtId="0" fontId="8" fillId="0" borderId="18" xfId="1" applyFont="1" applyBorder="1"/>
    <xf numFmtId="0" fontId="4" fillId="3" borderId="18" xfId="1" applyFont="1" applyFill="1" applyBorder="1" applyAlignment="1">
      <alignment horizontal="left"/>
    </xf>
    <xf numFmtId="0" fontId="5" fillId="3" borderId="18" xfId="1" applyFont="1" applyFill="1" applyBorder="1"/>
    <xf numFmtId="0" fontId="10" fillId="3" borderId="18" xfId="1" applyFont="1" applyFill="1" applyBorder="1" applyAlignment="1">
      <alignment horizontal="left"/>
    </xf>
    <xf numFmtId="0" fontId="4" fillId="0" borderId="18" xfId="1" applyFont="1" applyBorder="1" applyAlignment="1">
      <alignment wrapText="1"/>
    </xf>
    <xf numFmtId="0" fontId="6" fillId="3" borderId="18" xfId="1" applyFont="1" applyFill="1" applyBorder="1" applyAlignment="1">
      <alignment horizontal="left"/>
    </xf>
    <xf numFmtId="0" fontId="1" fillId="0" borderId="18" xfId="1" applyFont="1" applyBorder="1"/>
    <xf numFmtId="0" fontId="4" fillId="3" borderId="18" xfId="1" applyFont="1" applyFill="1" applyBorder="1" applyAlignment="1">
      <alignment horizontal="left" wrapText="1"/>
    </xf>
    <xf numFmtId="0" fontId="4" fillId="4" borderId="18" xfId="1" applyFont="1" applyFill="1" applyBorder="1"/>
    <xf numFmtId="0" fontId="11" fillId="3" borderId="18" xfId="1" applyFont="1" applyFill="1" applyBorder="1" applyAlignment="1">
      <alignment horizontal="left"/>
    </xf>
  </cellXfs>
  <cellStyles count="2">
    <cellStyle name="Normal" xfId="0" builtinId="0"/>
    <cellStyle name="Normale" xfId="1" xr:uid="{00000000-0005-0000-0000-000000000000}"/>
  </cellStyles>
  <dxfs count="2">
    <dxf>
      <fill>
        <patternFill>
          <bgColor rgb="FFFFFFFF"/>
        </patternFill>
      </fill>
    </dxf>
    <dxf>
      <fill>
        <patternFill>
          <bgColor rgb="FFFEFFF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5">
  <tableColumns count="2">
    <tableColumn id="1" xr3:uid="{00000000-0010-0000-0000-000001000000}" name="Impact Criteria"/>
    <tableColumn id="2" xr3:uid="{00000000-0010-0000-0000-000002000000}" name="Weight"/>
  </tableColumns>
  <tableStyleInfo name="Referenc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D1:E6">
  <tableColumns count="2">
    <tableColumn id="1" xr3:uid="{00000000-0010-0000-0100-000001000000}" name="Lower Limit"/>
    <tableColumn id="2" xr3:uid="{00000000-0010-0000-0100-000002000000}" name="Risk Level"/>
  </tableColumns>
  <tableStyleInfo name="Referenc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G1:H5">
  <tableColumns count="2">
    <tableColumn id="1" xr3:uid="{00000000-0010-0000-0200-000001000000}" name="Impact Rating"/>
    <tableColumn id="2" xr3:uid="{00000000-0010-0000-0200-000002000000}" name="Threshold Value"/>
  </tableColumns>
  <tableStyleInfo name="Reference-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C12">
  <tableColumns count="3">
    <tableColumn id="1" xr3:uid="{00000000-0010-0000-0300-000001000000}" name="Impact Rating"/>
    <tableColumn id="2" xr3:uid="{00000000-0010-0000-0300-000002000000}" name="Criteria for Safety Impact Rating"/>
    <tableColumn id="3" xr3:uid="{00000000-0010-0000-0300-000003000000}" name="Value"/>
  </tableColumns>
  <tableStyleInfo name="Reference-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6:C20">
  <tableColumns count="3">
    <tableColumn id="1" xr3:uid="{00000000-0010-0000-0400-000001000000}" name="Impact Rating"/>
    <tableColumn id="2" xr3:uid="{00000000-0010-0000-0400-000002000000}" name="Criteria for Reputational Impact Rating"/>
    <tableColumn id="3" xr3:uid="{00000000-0010-0000-0400-000003000000}" name="Value"/>
  </tableColumns>
  <tableStyleInfo name="Reference-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E16:E22">
  <tableColumns count="1">
    <tableColumn id="1" xr3:uid="{00000000-0010-0000-0500-000001000000}" name="Threat category (STRIDE)"/>
  </tableColumns>
  <tableStyleInfo name="Reference-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4:C28">
  <tableColumns count="3">
    <tableColumn id="1" xr3:uid="{00000000-0010-0000-0600-000001000000}" name="Impact Rating"/>
    <tableColumn id="2" xr3:uid="{00000000-0010-0000-0600-000002000000}" name="Criteria for Operational Impact Rating"/>
    <tableColumn id="3" xr3:uid="{00000000-0010-0000-0600-000003000000}" name="Value"/>
  </tableColumns>
  <tableStyleInfo name="Reference-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32:C36">
  <tableColumns count="3">
    <tableColumn id="1" xr3:uid="{00000000-0010-0000-0700-000001000000}" name="Impact Rating"/>
    <tableColumn id="2" xr3:uid="{00000000-0010-0000-0700-000002000000}" name="Criteria for Privacy Impact Rating"/>
    <tableColumn id="3" xr3:uid="{00000000-0010-0000-0700-000003000000}" name="Value"/>
  </tableColumns>
  <tableStyleInfo name="Reference-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40:D44">
  <tableColumns count="4">
    <tableColumn id="1" xr3:uid="{00000000-0010-0000-0800-000001000000}" name="Attack Vector"/>
    <tableColumn id="2" xr3:uid="{00000000-0010-0000-0800-000002000000}" name="Description"/>
    <tableColumn id="3" xr3:uid="{00000000-0010-0000-0800-000003000000}" name="Level"/>
    <tableColumn id="4" xr3:uid="{00000000-0010-0000-0800-000004000000}" name="Value"/>
  </tableColumns>
  <tableStyleInfo name="Reference-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47:B51">
  <tableColumns count="2">
    <tableColumn id="1" xr3:uid="{00000000-0010-0000-0900-000001000000}" name="Method"/>
    <tableColumn id="2" xr3:uid="{00000000-0010-0000-0900-000002000000}" name="Description"/>
  </tableColumns>
  <tableStyleInfo name="Reference-style 10"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45"/>
  <sheetViews>
    <sheetView tabSelected="1" zoomScale="53" zoomScaleNormal="46" workbookViewId="0">
      <selection activeCell="D62" sqref="D62"/>
    </sheetView>
  </sheetViews>
  <sheetFormatPr defaultColWidth="12.6640625" defaultRowHeight="13.2"/>
  <cols>
    <col min="1" max="1" width="24.109375" customWidth="1"/>
    <col min="2" max="2" width="41.6640625" customWidth="1"/>
    <col min="3" max="3" width="17.33203125" customWidth="1"/>
    <col min="4" max="4" width="39.109375" customWidth="1"/>
    <col min="5" max="5" width="44" customWidth="1"/>
    <col min="6" max="6" width="21" customWidth="1"/>
    <col min="7" max="7" width="40.109375" customWidth="1"/>
    <col min="8" max="8" width="21.33203125" customWidth="1"/>
    <col min="9" max="9" width="57.44140625" customWidth="1"/>
    <col min="10" max="10" width="20.33203125" customWidth="1"/>
    <col min="11" max="11" width="33" customWidth="1"/>
    <col min="12" max="12" width="20.88671875" customWidth="1"/>
    <col min="13" max="13" width="21.33203125" customWidth="1"/>
    <col min="14" max="14" width="16.88671875" customWidth="1"/>
    <col min="15" max="15" width="42.6640625" customWidth="1"/>
    <col min="16" max="16" width="15.44140625" customWidth="1"/>
    <col min="17" max="17" width="22.33203125" customWidth="1"/>
    <col min="18" max="18" width="21.33203125" customWidth="1"/>
    <col min="19" max="19" width="21.44140625" customWidth="1"/>
    <col min="20" max="20" width="38.6640625" customWidth="1"/>
    <col min="21" max="21" width="22.44140625" customWidth="1"/>
    <col min="22" max="22" width="47.6640625" customWidth="1"/>
    <col min="23" max="23" width="35" customWidth="1"/>
  </cols>
  <sheetData>
    <row r="1" spans="1:31" ht="25.8" customHeight="1">
      <c r="A1" s="2" t="s">
        <v>0</v>
      </c>
      <c r="B1" s="2" t="s">
        <v>1</v>
      </c>
      <c r="C1" s="42" t="s">
        <v>2</v>
      </c>
      <c r="D1" s="43" t="s">
        <v>3</v>
      </c>
      <c r="E1" s="3" t="s">
        <v>4</v>
      </c>
      <c r="F1" s="4" t="s">
        <v>5</v>
      </c>
      <c r="G1" s="4" t="s">
        <v>6</v>
      </c>
      <c r="H1" s="4" t="s">
        <v>7</v>
      </c>
      <c r="I1" s="4" t="s">
        <v>8</v>
      </c>
      <c r="J1" s="4" t="s">
        <v>9</v>
      </c>
      <c r="K1" s="4" t="s">
        <v>10</v>
      </c>
      <c r="L1" s="4" t="s">
        <v>11</v>
      </c>
      <c r="M1" s="4" t="s">
        <v>12</v>
      </c>
      <c r="N1" s="4" t="s">
        <v>13</v>
      </c>
      <c r="O1" s="4" t="s">
        <v>14</v>
      </c>
      <c r="P1" s="5" t="s">
        <v>15</v>
      </c>
      <c r="Q1" s="5" t="s">
        <v>16</v>
      </c>
      <c r="R1" s="5" t="s">
        <v>17</v>
      </c>
      <c r="S1" s="4" t="s">
        <v>18</v>
      </c>
      <c r="T1" s="4" t="s">
        <v>19</v>
      </c>
      <c r="U1" s="4" t="s">
        <v>20</v>
      </c>
      <c r="V1" s="4" t="s">
        <v>21</v>
      </c>
      <c r="W1" s="4" t="s">
        <v>22</v>
      </c>
      <c r="X1" s="6"/>
      <c r="Y1" s="7" t="s">
        <v>23</v>
      </c>
      <c r="Z1" s="7" t="s">
        <v>24</v>
      </c>
      <c r="AA1" s="7" t="s">
        <v>25</v>
      </c>
      <c r="AB1" s="7" t="s">
        <v>26</v>
      </c>
      <c r="AC1" s="7" t="s">
        <v>27</v>
      </c>
      <c r="AD1" s="7" t="s">
        <v>28</v>
      </c>
      <c r="AE1" s="7" t="s">
        <v>29</v>
      </c>
    </row>
    <row r="2" spans="1:31" ht="54.45" customHeight="1">
      <c r="A2" s="66" t="s">
        <v>116</v>
      </c>
      <c r="B2" s="44" t="s">
        <v>67</v>
      </c>
      <c r="C2" s="44" t="s">
        <v>117</v>
      </c>
      <c r="D2" s="45" t="s">
        <v>118</v>
      </c>
      <c r="E2" s="46" t="s">
        <v>119</v>
      </c>
      <c r="F2" s="44" t="s">
        <v>102</v>
      </c>
      <c r="G2" s="44" t="s">
        <v>120</v>
      </c>
      <c r="H2" s="44" t="s">
        <v>44</v>
      </c>
      <c r="I2" s="46" t="s">
        <v>121</v>
      </c>
      <c r="J2" s="44" t="s">
        <v>47</v>
      </c>
      <c r="K2" s="46" t="s">
        <v>122</v>
      </c>
      <c r="L2" s="44" t="s">
        <v>44</v>
      </c>
      <c r="M2" s="46" t="s">
        <v>123</v>
      </c>
      <c r="N2" s="44" t="s">
        <v>47</v>
      </c>
      <c r="O2" s="46" t="s">
        <v>124</v>
      </c>
      <c r="P2" s="47" t="str">
        <f>IF(AC2&gt;=Reference!$H$2, Reference!$G$2, IF(AC2&gt;=Reference!$H$3, Reference!$G$3, IF(AC2&gt;=Reference!$H$4, Reference!$G$4, IF(AC2&gt;=Reference!$H$5, Reference!$G$5, ""))))</f>
        <v>Major</v>
      </c>
      <c r="Q2" s="47" t="str">
        <f t="shared" ref="Q2" si="0">IF(F2="Physical", "Very Low", IF(F2="Local", "Low", IF(F2="Adjacent", "Medium", IF(F2="Network", "High", ""))))</f>
        <v>Low</v>
      </c>
      <c r="R2" s="47" t="str">
        <f>IF(AE2&gt;=Reference!$D$2, Reference!$G$2, IF(AE2&gt;=Reference!$D$3, Reference!$E$3, IF(AE2&gt;=Reference!$D$4, Reference!$E$4, IF(AE2&gt;=Reference!$D$5, Reference!$E$5, ""))))</f>
        <v>Medium</v>
      </c>
      <c r="S2" s="44" t="s">
        <v>76</v>
      </c>
      <c r="T2" s="46" t="s">
        <v>125</v>
      </c>
      <c r="U2" s="46" t="s">
        <v>126</v>
      </c>
      <c r="V2" s="46" t="s">
        <v>127</v>
      </c>
      <c r="W2" s="44" t="s">
        <v>128</v>
      </c>
      <c r="Y2" s="62">
        <f>IF(H2=Reference!$A$12, Reference!$C$12, IF(H2=Reference!$A$11, Reference!$C$11, IF(H2=Reference!$A$10, Reference!$C$10, IF(H2=Reference!$A$9, Reference!$C$9, 0))))</f>
        <v>4</v>
      </c>
      <c r="Z2" s="62">
        <f>IF(J2=Reference!$A$20, Reference!$C$20, IF(J2=Reference!$A$19, Reference!$C$19, IF(J2=Reference!$A$18, Reference!$C$18, IF(J2=Reference!$A$17, Reference!$C$17, 0))))</f>
        <v>1</v>
      </c>
      <c r="AA2" s="62">
        <f>IF(L2=Reference!$A$28, Reference!$C$28, IF(L2=Reference!$A$27, Reference!$C$27, IF(L2=Reference!$A$26, Reference!$C$26, IF(L2=Reference!$A$25, Reference!$C$25, 0))))</f>
        <v>4</v>
      </c>
      <c r="AB2" s="62">
        <f>IF(N2=Reference!$A$36, Reference!$C$36, IF(N2=Reference!$A$35, Reference!$C$35, IF(N2=Reference!$A$34, Reference!$C$34, IF(N2=Reference!$A$33, Reference!$C$33, 0))))</f>
        <v>1</v>
      </c>
      <c r="AC2" s="62">
        <f>(Reference!$B$2*Y2 + Reference!$B$3*AA2 + Reference!$B$4*Z2 + Reference!$B$5*AB2)/4</f>
        <v>6.1875</v>
      </c>
      <c r="AD2" s="62">
        <f>IF(Q2=Reference!$C$41, Reference!$D$41, IF(Q2=Reference!$C$42, Reference!$D$42, IF(Q2=Reference!$C$43, Reference!$D$43, IF(Q2=Reference!$C$44, Reference!$D$44, 0))))</f>
        <v>4</v>
      </c>
      <c r="AE2" s="63">
        <f t="shared" ref="AE2" si="1">1+(AC2*AD2)</f>
        <v>25.75</v>
      </c>
    </row>
    <row r="3" spans="1:31" ht="54.45" customHeight="1">
      <c r="A3" s="67" t="s">
        <v>129</v>
      </c>
      <c r="B3" s="44" t="s">
        <v>67</v>
      </c>
      <c r="C3" s="44" t="s">
        <v>117</v>
      </c>
      <c r="D3" s="45" t="s">
        <v>130</v>
      </c>
      <c r="E3" s="46" t="s">
        <v>131</v>
      </c>
      <c r="F3" s="44" t="s">
        <v>104</v>
      </c>
      <c r="G3" s="44" t="s">
        <v>132</v>
      </c>
      <c r="H3" s="44" t="s">
        <v>44</v>
      </c>
      <c r="I3" s="46" t="s">
        <v>133</v>
      </c>
      <c r="J3" s="44" t="s">
        <v>47</v>
      </c>
      <c r="K3" s="46" t="s">
        <v>134</v>
      </c>
      <c r="L3" s="44" t="s">
        <v>44</v>
      </c>
      <c r="M3" s="46" t="s">
        <v>135</v>
      </c>
      <c r="N3" s="44" t="s">
        <v>47</v>
      </c>
      <c r="O3" s="46" t="s">
        <v>136</v>
      </c>
      <c r="P3" s="48" t="str">
        <f>IF(AC3&gt;=Reference!$H$2, Reference!$G$2, IF(AC3&gt;=Reference!$H$3, Reference!$G$3, IF(AC3&gt;=Reference!$H$4, Reference!$G$4, IF(AC3&gt;=Reference!$H$5, Reference!$G$5, ""))))</f>
        <v>Major</v>
      </c>
      <c r="Q3" s="48" t="str">
        <f>IF(F3="Physical", "Very Low", IF(F3="Local", "Low", IF(F3="Adjacent", "Medium", IF(F3="Network", "High", ""))))</f>
        <v>Very Low</v>
      </c>
      <c r="R3" s="48" t="str">
        <f>IF(AE3&gt;=Reference!$D$2, Reference!$G$2, IF(AE3&gt;=Reference!$D$3, Reference!$E$3, IF(AE3&gt;=Reference!$D$4, Reference!$E$4, IF(AE3&gt;=Reference!$D$5, Reference!$E$5, ""))))</f>
        <v>Low</v>
      </c>
      <c r="S3" s="44" t="s">
        <v>76</v>
      </c>
      <c r="T3" s="46" t="s">
        <v>137</v>
      </c>
      <c r="U3" s="46" t="s">
        <v>138</v>
      </c>
      <c r="V3" s="46" t="s">
        <v>139</v>
      </c>
      <c r="W3" s="44" t="s">
        <v>140</v>
      </c>
      <c r="Y3" s="62">
        <f>IF(H3=Reference!$A$12, Reference!$C$12, IF(H3=Reference!$A$11, Reference!$C$11, IF(H3=Reference!$A$10, Reference!$C$10, IF(H3=Reference!$A$9, Reference!$C$9, 0))))</f>
        <v>4</v>
      </c>
      <c r="Z3" s="62">
        <f>IF(J3=Reference!$A$20, Reference!$C$20, IF(J3=Reference!$A$19, Reference!$C$19, IF(J3=Reference!$A$18, Reference!$C$18, IF(J3=Reference!$A$17, Reference!$C$17, 0))))</f>
        <v>1</v>
      </c>
      <c r="AA3" s="62">
        <f>IF(L3=Reference!$A$28, Reference!$C$28, IF(L3=Reference!$A$27, Reference!$C$27, IF(L3=Reference!$A$26, Reference!$C$26, IF(L3=Reference!$A$25, Reference!$C$25, 0))))</f>
        <v>4</v>
      </c>
      <c r="AB3" s="62">
        <f>IF(N3=Reference!$A$36, Reference!$C$36, IF(N3=Reference!$A$35, Reference!$C$35, IF(N3=Reference!$A$34, Reference!$C$34, IF(N3=Reference!$A$33, Reference!$C$33, 0))))</f>
        <v>1</v>
      </c>
      <c r="AC3" s="62">
        <f>(Reference!$B$2*Y3 + Reference!$B$3*AA3 + Reference!$B$4*Z3 + Reference!$B$5*AB3)/4</f>
        <v>6.1875</v>
      </c>
      <c r="AD3" s="62">
        <f>IF(Q3=Reference!$C$41, Reference!$D$41, IF(Q3=Reference!$C$42, Reference!$D$42, IF(Q3=Reference!$C$43, Reference!$D$43, IF(Q3=Reference!$C$44, Reference!$D$44, 0))))</f>
        <v>1</v>
      </c>
      <c r="AE3" s="64">
        <f t="shared" ref="AE3" si="2">1+(AC3*AD3)</f>
        <v>7.1875</v>
      </c>
    </row>
    <row r="4" spans="1:31" ht="54.45" customHeight="1">
      <c r="A4" s="68" t="s">
        <v>141</v>
      </c>
      <c r="B4" s="44" t="s">
        <v>67</v>
      </c>
      <c r="C4" s="44" t="s">
        <v>117</v>
      </c>
      <c r="D4" s="45" t="s">
        <v>142</v>
      </c>
      <c r="E4" s="46" t="s">
        <v>143</v>
      </c>
      <c r="F4" s="44" t="s">
        <v>102</v>
      </c>
      <c r="G4" s="44" t="s">
        <v>144</v>
      </c>
      <c r="H4" s="44" t="s">
        <v>41</v>
      </c>
      <c r="I4" s="46" t="s">
        <v>145</v>
      </c>
      <c r="J4" s="44" t="s">
        <v>44</v>
      </c>
      <c r="K4" s="46" t="s">
        <v>146</v>
      </c>
      <c r="L4" s="44" t="s">
        <v>41</v>
      </c>
      <c r="M4" s="46" t="s">
        <v>147</v>
      </c>
      <c r="N4" s="44" t="s">
        <v>47</v>
      </c>
      <c r="O4" s="46" t="s">
        <v>148</v>
      </c>
      <c r="P4" s="49" t="str">
        <f>IF(AC4&gt;=Reference!$H$2, Reference!$G$2, IF(AC4&gt;=Reference!$H$3, Reference!$G$3, IF(AC4&gt;=Reference!$H$4, Reference!$G$4, IF(AC4&gt;=Reference!$H$5, Reference!$G$5, ""))))</f>
        <v>Severe</v>
      </c>
      <c r="Q4" s="49" t="str">
        <f>IF(F4="Physical", "Very Low", IF(F4="Local", "Low", IF(F4="Adjacent", "Medium", IF(F4="Network", "High", ""))))</f>
        <v>Low</v>
      </c>
      <c r="R4" s="49" t="str">
        <f>IF(AE4&gt;=Reference!$D$2, Reference!$G$2, IF(AE4&gt;=Reference!$D$3, Reference!$E$3, IF(AE4&gt;=Reference!$D$4, Reference!$E$4, IF(AE4&gt;=Reference!$D$5, Reference!$E$5, ""))))</f>
        <v>Medium</v>
      </c>
      <c r="S4" s="44" t="s">
        <v>76</v>
      </c>
      <c r="T4" s="46" t="s">
        <v>149</v>
      </c>
      <c r="U4" s="46" t="s">
        <v>150</v>
      </c>
      <c r="V4" s="46" t="s">
        <v>151</v>
      </c>
      <c r="W4" s="44" t="s">
        <v>152</v>
      </c>
      <c r="Y4" s="62">
        <f>IF(H4=Reference!$A$12, Reference!$C$12, IF(H4=Reference!$A$11, Reference!$C$11, IF(H4=Reference!$A$10, Reference!$C$10, IF(H4=Reference!$A$9, Reference!$C$9, 0))))</f>
        <v>7</v>
      </c>
      <c r="Z4" s="62">
        <f>IF(J4=Reference!$A$20, Reference!$C$20, IF(J4=Reference!$A$19, Reference!$C$19, IF(J4=Reference!$A$18, Reference!$C$18, IF(J4=Reference!$A$17, Reference!$C$17, 0))))</f>
        <v>4</v>
      </c>
      <c r="AA4" s="62">
        <f>IF(L4=Reference!$A$28, Reference!$C$28, IF(L4=Reference!$A$27, Reference!$C$27, IF(L4=Reference!$A$26, Reference!$C$26, IF(L4=Reference!$A$25, Reference!$C$25, 0))))</f>
        <v>7</v>
      </c>
      <c r="AB4" s="62">
        <f>IF(N4=Reference!$A$36, Reference!$C$36, IF(N4=Reference!$A$35, Reference!$C$35, IF(N4=Reference!$A$34, Reference!$C$34, IF(N4=Reference!$A$33, Reference!$C$33, 0))))</f>
        <v>1</v>
      </c>
      <c r="AC4" s="62">
        <f>(Reference!$B$2*Y4 + Reference!$B$3*AA4 + Reference!$B$4*Z4 + Reference!$B$5*AB4)/4</f>
        <v>11.0625</v>
      </c>
      <c r="AD4" s="62">
        <f>IF(Q4=Reference!$C$41, Reference!$D$41, IF(Q4=Reference!$C$42, Reference!$D$42, IF(Q4=Reference!$C$43, Reference!$D$43, IF(Q4=Reference!$C$44, Reference!$D$44, 0))))</f>
        <v>4</v>
      </c>
      <c r="AE4" s="65">
        <f t="shared" ref="AE4" si="3">1+(AC4*AD4)</f>
        <v>45.25</v>
      </c>
    </row>
    <row r="5" spans="1:31" ht="54.45" customHeight="1">
      <c r="A5" s="50" t="s">
        <v>153</v>
      </c>
      <c r="B5" s="44" t="s">
        <v>71</v>
      </c>
      <c r="C5" s="44" t="s">
        <v>154</v>
      </c>
      <c r="D5" s="45" t="s">
        <v>155</v>
      </c>
      <c r="E5" s="45" t="s">
        <v>156</v>
      </c>
      <c r="F5" s="44" t="s">
        <v>102</v>
      </c>
      <c r="G5" s="44" t="s">
        <v>157</v>
      </c>
      <c r="H5" s="44" t="s">
        <v>41</v>
      </c>
      <c r="I5" s="44" t="s">
        <v>158</v>
      </c>
      <c r="J5" s="44" t="s">
        <v>44</v>
      </c>
      <c r="K5" s="44" t="s">
        <v>159</v>
      </c>
      <c r="L5" s="44" t="s">
        <v>41</v>
      </c>
      <c r="M5" s="44" t="s">
        <v>160</v>
      </c>
      <c r="N5" s="44" t="s">
        <v>47</v>
      </c>
      <c r="O5" s="44" t="s">
        <v>161</v>
      </c>
      <c r="P5" s="51" t="str">
        <f>IF(AC5&gt;=Reference!$H$2, Reference!$G$2, IF(AC5&gt;=Reference!$H$3, Reference!$G$3, IF(AC5&gt;=Reference!$H$4, Reference!$G$4, IF(AC5&gt;=Reference!$H$5, Reference!$G$5, ""))))</f>
        <v>Severe</v>
      </c>
      <c r="Q5" s="51" t="str">
        <f t="shared" ref="Q5:Q30" si="4">IF(F5="Physical", "Very Low", IF(F5="Local", "Low", IF(F5="Adjacent", "Medium", IF(F5="Network", "High", ""))))</f>
        <v>Low</v>
      </c>
      <c r="R5" s="51" t="str">
        <f>IF(AE5&gt;=Reference!$D$2, Reference!$G$2, IF(AE5&gt;=Reference!$D$3, Reference!$E$3, IF(AE5&gt;=Reference!$D$4, Reference!$E$4, IF(AE5&gt;=Reference!$D$5, Reference!$E$5, ""))))</f>
        <v>Medium</v>
      </c>
      <c r="S5" s="52" t="s">
        <v>76</v>
      </c>
      <c r="T5" s="53" t="s">
        <v>162</v>
      </c>
      <c r="U5" s="44" t="s">
        <v>163</v>
      </c>
      <c r="V5" s="44" t="s">
        <v>164</v>
      </c>
      <c r="W5" s="44" t="s">
        <v>165</v>
      </c>
      <c r="Y5" s="62">
        <f>IF(H5=Reference!$A$12, Reference!$C$12, IF(H5=Reference!$A$11, Reference!$C$11, IF(H5=Reference!$A$10, Reference!$C$10, IF(H5=Reference!$A$9, Reference!$C$9, 0))))</f>
        <v>7</v>
      </c>
      <c r="Z5" s="62">
        <f>IF(J5=Reference!$A$20, Reference!$C$20, IF(J5=Reference!$A$19, Reference!$C$19, IF(J5=Reference!$A$18, Reference!$C$18, IF(J5=Reference!$A$17, Reference!$C$17, 0))))</f>
        <v>4</v>
      </c>
      <c r="AA5" s="62">
        <f>IF(L5=Reference!$A$28, Reference!$C$28, IF(L5=Reference!$A$27, Reference!$C$27, IF(L5=Reference!$A$26, Reference!$C$26, IF(L5=Reference!$A$25, Reference!$C$25, 0))))</f>
        <v>7</v>
      </c>
      <c r="AB5" s="62">
        <f>IF(N5=Reference!$A$36, Reference!$C$36, IF(N5=Reference!$A$35, Reference!$C$35, IF(N5=Reference!$A$34, Reference!$C$34, IF(N5=Reference!$A$33, Reference!$C$33, 0))))</f>
        <v>1</v>
      </c>
      <c r="AC5" s="62">
        <f>(Reference!$B$2*Y5 + Reference!$B$3*AA5 + Reference!$B$4*Z5 + Reference!$B$5*AB5)/4</f>
        <v>11.0625</v>
      </c>
      <c r="AD5" s="62">
        <f>IF(Q5=Reference!$C$41, Reference!$D$41, IF(Q5=Reference!$C$42, Reference!$D$42, IF(Q5=Reference!$C$43, Reference!$D$43, IF(Q5=Reference!$C$44, Reference!$D$44, 0))))</f>
        <v>4</v>
      </c>
      <c r="AE5" s="62">
        <f t="shared" ref="AE5:AE30" si="5">1+(AC5*AD5)</f>
        <v>45.25</v>
      </c>
    </row>
    <row r="6" spans="1:31" ht="54.45" customHeight="1">
      <c r="A6" s="50" t="s">
        <v>166</v>
      </c>
      <c r="B6" s="44" t="s">
        <v>67</v>
      </c>
      <c r="C6" s="44" t="s">
        <v>117</v>
      </c>
      <c r="D6" s="45" t="s">
        <v>167</v>
      </c>
      <c r="E6" s="45" t="s">
        <v>168</v>
      </c>
      <c r="F6" s="44" t="s">
        <v>102</v>
      </c>
      <c r="G6" s="44" t="s">
        <v>169</v>
      </c>
      <c r="H6" s="44" t="s">
        <v>44</v>
      </c>
      <c r="I6" s="44" t="s">
        <v>170</v>
      </c>
      <c r="J6" s="44" t="s">
        <v>47</v>
      </c>
      <c r="K6" s="44" t="s">
        <v>171</v>
      </c>
      <c r="L6" s="44" t="s">
        <v>44</v>
      </c>
      <c r="M6" s="44" t="s">
        <v>172</v>
      </c>
      <c r="N6" s="44" t="s">
        <v>47</v>
      </c>
      <c r="O6" s="44" t="s">
        <v>173</v>
      </c>
      <c r="P6" s="51" t="str">
        <f>IF(AC6&gt;=Reference!$H$2, Reference!$G$2, IF(AC6&gt;=Reference!$H$3, Reference!$G$3, IF(AC6&gt;=Reference!$H$4, Reference!$G$4, IF(AC6&gt;=Reference!$H$5, Reference!$G$5, ""))))</f>
        <v>Major</v>
      </c>
      <c r="Q6" s="51" t="str">
        <f t="shared" si="4"/>
        <v>Low</v>
      </c>
      <c r="R6" s="51" t="str">
        <f>IF(AE6&gt;=Reference!$D$2, Reference!$G$2, IF(AE6&gt;=Reference!$D$3, Reference!$E$3, IF(AE6&gt;=Reference!$D$4, Reference!$E$4, IF(AE6&gt;=Reference!$D$5, Reference!$E$5, ""))))</f>
        <v>Medium</v>
      </c>
      <c r="S6" s="52" t="s">
        <v>76</v>
      </c>
      <c r="T6" s="53" t="s">
        <v>174</v>
      </c>
      <c r="U6" s="44" t="s">
        <v>175</v>
      </c>
      <c r="V6" s="44" t="s">
        <v>176</v>
      </c>
      <c r="W6" s="44" t="s">
        <v>177</v>
      </c>
      <c r="Y6" s="62">
        <f>IF(H6=Reference!$A$12, Reference!$C$12, IF(H6=Reference!$A$11, Reference!$C$11, IF(H6=Reference!$A$10, Reference!$C$10, IF(H6=Reference!$A$9, Reference!$C$9, 0))))</f>
        <v>4</v>
      </c>
      <c r="Z6" s="62">
        <f>IF(J6=Reference!$A$20, Reference!$C$20, IF(J6=Reference!$A$19, Reference!$C$19, IF(J6=Reference!$A$18, Reference!$C$18, IF(J6=Reference!$A$17, Reference!$C$17, 0))))</f>
        <v>1</v>
      </c>
      <c r="AA6" s="62">
        <f>IF(L6=Reference!$A$28, Reference!$C$28, IF(L6=Reference!$A$27, Reference!$C$27, IF(L6=Reference!$A$26, Reference!$C$26, IF(L6=Reference!$A$25, Reference!$C$25, 0))))</f>
        <v>4</v>
      </c>
      <c r="AB6" s="62">
        <f>IF(N6=Reference!$A$36, Reference!$C$36, IF(N6=Reference!$A$35, Reference!$C$35, IF(N6=Reference!$A$34, Reference!$C$34, IF(N6=Reference!$A$33, Reference!$C$33, 0))))</f>
        <v>1</v>
      </c>
      <c r="AC6" s="62">
        <f>(Reference!$B$2*Y6 + Reference!$B$3*AA6 + Reference!$B$4*Z6 + Reference!$B$5*AB6)/4</f>
        <v>6.1875</v>
      </c>
      <c r="AD6" s="62">
        <f>IF(Q6=Reference!$C$41, Reference!$D$41, IF(Q6=Reference!$C$42, Reference!$D$42, IF(Q6=Reference!$C$43, Reference!$D$43, IF(Q6=Reference!$C$44, Reference!$D$44, 0))))</f>
        <v>4</v>
      </c>
      <c r="AE6" s="62">
        <f t="shared" si="5"/>
        <v>25.75</v>
      </c>
    </row>
    <row r="7" spans="1:31" ht="54.45" customHeight="1">
      <c r="A7" s="50" t="s">
        <v>178</v>
      </c>
      <c r="B7" s="44" t="s">
        <v>67</v>
      </c>
      <c r="C7" s="44" t="s">
        <v>117</v>
      </c>
      <c r="D7" s="45" t="s">
        <v>179</v>
      </c>
      <c r="E7" s="45" t="s">
        <v>180</v>
      </c>
      <c r="F7" s="44" t="s">
        <v>102</v>
      </c>
      <c r="G7" s="44" t="s">
        <v>181</v>
      </c>
      <c r="H7" s="44" t="s">
        <v>41</v>
      </c>
      <c r="I7" s="44" t="s">
        <v>182</v>
      </c>
      <c r="J7" s="44" t="s">
        <v>44</v>
      </c>
      <c r="K7" s="44" t="s">
        <v>183</v>
      </c>
      <c r="L7" s="44" t="s">
        <v>41</v>
      </c>
      <c r="M7" s="44" t="s">
        <v>184</v>
      </c>
      <c r="N7" s="44" t="s">
        <v>47</v>
      </c>
      <c r="O7" s="44" t="s">
        <v>185</v>
      </c>
      <c r="P7" s="51" t="str">
        <f>IF(AC7&gt;=Reference!$H$2, Reference!$G$2, IF(AC7&gt;=Reference!$H$3, Reference!$G$3, IF(AC7&gt;=Reference!$H$4, Reference!$G$4, IF(AC7&gt;=Reference!$H$5, Reference!$G$5, ""))))</f>
        <v>Severe</v>
      </c>
      <c r="Q7" s="51" t="str">
        <f t="shared" si="4"/>
        <v>Low</v>
      </c>
      <c r="R7" s="51" t="str">
        <f>IF(AE7&gt;=Reference!$D$2, Reference!$G$2, IF(AE7&gt;=Reference!$D$3, Reference!$E$3, IF(AE7&gt;=Reference!$D$4, Reference!$E$4, IF(AE7&gt;=Reference!$D$5, Reference!$E$5, ""))))</f>
        <v>Medium</v>
      </c>
      <c r="S7" s="52" t="s">
        <v>76</v>
      </c>
      <c r="T7" s="53" t="s">
        <v>186</v>
      </c>
      <c r="U7" s="44" t="s">
        <v>187</v>
      </c>
      <c r="V7" s="44" t="s">
        <v>188</v>
      </c>
      <c r="W7" s="44" t="s">
        <v>189</v>
      </c>
      <c r="Y7" s="62">
        <f>IF(H7=Reference!$A$12, Reference!$C$12, IF(H7=Reference!$A$11, Reference!$C$11, IF(H7=Reference!$A$10, Reference!$C$10, IF(H7=Reference!$A$9, Reference!$C$9, 0))))</f>
        <v>7</v>
      </c>
      <c r="Z7" s="62">
        <f>IF(J7=Reference!$A$20, Reference!$C$20, IF(J7=Reference!$A$19, Reference!$C$19, IF(J7=Reference!$A$18, Reference!$C$18, IF(J7=Reference!$A$17, Reference!$C$17, 0))))</f>
        <v>4</v>
      </c>
      <c r="AA7" s="62">
        <f>IF(L7=Reference!$A$28, Reference!$C$28, IF(L7=Reference!$A$27, Reference!$C$27, IF(L7=Reference!$A$26, Reference!$C$26, IF(L7=Reference!$A$25, Reference!$C$25, 0))))</f>
        <v>7</v>
      </c>
      <c r="AB7" s="62">
        <f>IF(N7=Reference!$A$36, Reference!$C$36, IF(N7=Reference!$A$35, Reference!$C$35, IF(N7=Reference!$A$34, Reference!$C$34, IF(N7=Reference!$A$33, Reference!$C$33, 0))))</f>
        <v>1</v>
      </c>
      <c r="AC7" s="62">
        <f>(Reference!$B$2*Y7 + Reference!$B$3*AA7 + Reference!$B$4*Z7 + Reference!$B$5*AB7)/4</f>
        <v>11.0625</v>
      </c>
      <c r="AD7" s="62">
        <f>IF(Q7=Reference!$C$41, Reference!$D$41, IF(Q7=Reference!$C$42, Reference!$D$42, IF(Q7=Reference!$C$43, Reference!$D$43, IF(Q7=Reference!$C$44, Reference!$D$44, 0))))</f>
        <v>4</v>
      </c>
      <c r="AE7" s="62">
        <f t="shared" si="5"/>
        <v>45.25</v>
      </c>
    </row>
    <row r="8" spans="1:31" ht="54.45" customHeight="1">
      <c r="A8" s="50" t="s">
        <v>190</v>
      </c>
      <c r="B8" s="44" t="s">
        <v>67</v>
      </c>
      <c r="C8" s="44" t="s">
        <v>117</v>
      </c>
      <c r="D8" s="45" t="s">
        <v>191</v>
      </c>
      <c r="E8" s="45" t="s">
        <v>192</v>
      </c>
      <c r="F8" s="44" t="s">
        <v>102</v>
      </c>
      <c r="G8" s="54" t="s">
        <v>193</v>
      </c>
      <c r="H8" s="44" t="s">
        <v>41</v>
      </c>
      <c r="I8" s="44" t="s">
        <v>194</v>
      </c>
      <c r="J8" s="44" t="s">
        <v>44</v>
      </c>
      <c r="K8" s="54" t="s">
        <v>195</v>
      </c>
      <c r="L8" s="44" t="s">
        <v>41</v>
      </c>
      <c r="M8" s="54" t="s">
        <v>196</v>
      </c>
      <c r="N8" s="44" t="s">
        <v>47</v>
      </c>
      <c r="O8" s="44" t="s">
        <v>197</v>
      </c>
      <c r="P8" s="51" t="str">
        <f>IF(AC8&gt;=Reference!$H$2, Reference!$G$2, IF(AC8&gt;=Reference!$H$3, Reference!$G$3, IF(AC8&gt;=Reference!$H$4, Reference!$G$4, IF(AC8&gt;=Reference!$H$5, Reference!$G$5, ""))))</f>
        <v>Severe</v>
      </c>
      <c r="Q8" s="51" t="str">
        <f t="shared" si="4"/>
        <v>Low</v>
      </c>
      <c r="R8" s="51" t="str">
        <f>IF(AE8&gt;=Reference!$D$2, Reference!$G$2, IF(AE8&gt;=Reference!$D$3, Reference!$E$3, IF(AE8&gt;=Reference!$D$4, Reference!$E$4, IF(AE8&gt;=Reference!$D$5, Reference!$E$5, ""))))</f>
        <v>Medium</v>
      </c>
      <c r="S8" s="52" t="s">
        <v>76</v>
      </c>
      <c r="T8" s="53" t="s">
        <v>198</v>
      </c>
      <c r="U8" s="44" t="s">
        <v>199</v>
      </c>
      <c r="V8" s="54" t="s">
        <v>200</v>
      </c>
      <c r="W8" s="44" t="s">
        <v>201</v>
      </c>
      <c r="Y8" s="62">
        <f>IF(H8=Reference!$A$12, Reference!$C$12, IF(H8=Reference!$A$11, Reference!$C$11, IF(H8=Reference!$A$10, Reference!$C$10, IF(H8=Reference!$A$9, Reference!$C$9, 0))))</f>
        <v>7</v>
      </c>
      <c r="Z8" s="62">
        <f>IF(J8=Reference!$A$20, Reference!$C$20, IF(J8=Reference!$A$19, Reference!$C$19, IF(J8=Reference!$A$18, Reference!$C$18, IF(J8=Reference!$A$17, Reference!$C$17, 0))))</f>
        <v>4</v>
      </c>
      <c r="AA8" s="62">
        <f>IF(L8=Reference!$A$28, Reference!$C$28, IF(L8=Reference!$A$27, Reference!$C$27, IF(L8=Reference!$A$26, Reference!$C$26, IF(L8=Reference!$A$25, Reference!$C$25, 0))))</f>
        <v>7</v>
      </c>
      <c r="AB8" s="62">
        <f>IF(N8=Reference!$A$36, Reference!$C$36, IF(N8=Reference!$A$35, Reference!$C$35, IF(N8=Reference!$A$34, Reference!$C$34, IF(N8=Reference!$A$33, Reference!$C$33, 0))))</f>
        <v>1</v>
      </c>
      <c r="AC8" s="62">
        <f>(Reference!$B$2*Y8 + Reference!$B$3*AA8 + Reference!$B$4*Z8 + Reference!$B$5*AB8)/4</f>
        <v>11.0625</v>
      </c>
      <c r="AD8" s="62">
        <f>IF(Q8=Reference!$C$41, Reference!$D$41, IF(Q8=Reference!$C$42, Reference!$D$42, IF(Q8=Reference!$C$43, Reference!$D$43, IF(Q8=Reference!$C$44, Reference!$D$44, 0))))</f>
        <v>4</v>
      </c>
      <c r="AE8" s="62">
        <f t="shared" si="5"/>
        <v>45.25</v>
      </c>
    </row>
    <row r="9" spans="1:31" ht="54.45" customHeight="1">
      <c r="A9" s="50" t="s">
        <v>202</v>
      </c>
      <c r="B9" s="44" t="s">
        <v>67</v>
      </c>
      <c r="C9" s="44" t="s">
        <v>117</v>
      </c>
      <c r="D9" s="45" t="s">
        <v>203</v>
      </c>
      <c r="E9" s="55" t="s">
        <v>204</v>
      </c>
      <c r="F9" s="44" t="s">
        <v>102</v>
      </c>
      <c r="G9" s="44" t="s">
        <v>205</v>
      </c>
      <c r="H9" s="44" t="s">
        <v>41</v>
      </c>
      <c r="I9" s="44" t="s">
        <v>206</v>
      </c>
      <c r="J9" s="44" t="s">
        <v>44</v>
      </c>
      <c r="K9" s="44" t="s">
        <v>195</v>
      </c>
      <c r="L9" s="44" t="s">
        <v>41</v>
      </c>
      <c r="M9" s="56" t="s">
        <v>207</v>
      </c>
      <c r="N9" s="44" t="s">
        <v>47</v>
      </c>
      <c r="O9" s="44" t="s">
        <v>208</v>
      </c>
      <c r="P9" s="51" t="str">
        <f>IF(AC9&gt;=Reference!$H$2, Reference!$G$2, IF(AC9&gt;=Reference!$H$3, Reference!$G$3, IF(AC9&gt;=Reference!$H$4, Reference!$G$4, IF(AC9&gt;=Reference!$H$5, Reference!$G$5, ""))))</f>
        <v>Severe</v>
      </c>
      <c r="Q9" s="51" t="str">
        <f t="shared" si="4"/>
        <v>Low</v>
      </c>
      <c r="R9" s="51" t="str">
        <f>IF(AE9&gt;=Reference!$D$2, Reference!$G$2, IF(AE9&gt;=Reference!$D$3, Reference!$E$3, IF(AE9&gt;=Reference!$D$4, Reference!$E$4, IF(AE9&gt;=Reference!$D$5, Reference!$E$5, ""))))</f>
        <v>Medium</v>
      </c>
      <c r="S9" s="52" t="s">
        <v>76</v>
      </c>
      <c r="T9" s="44" t="s">
        <v>209</v>
      </c>
      <c r="U9" s="44" t="s">
        <v>210</v>
      </c>
      <c r="V9" s="57" t="s">
        <v>211</v>
      </c>
      <c r="W9" s="44" t="s">
        <v>212</v>
      </c>
      <c r="Y9" s="62">
        <f>IF(H9=Reference!$A$12, Reference!$C$12, IF(H9=Reference!$A$11, Reference!$C$11, IF(H9=Reference!$A$10, Reference!$C$10, IF(H9=Reference!$A$9, Reference!$C$9, 0))))</f>
        <v>7</v>
      </c>
      <c r="Z9" s="62">
        <f>IF(J9=Reference!$A$20, Reference!$C$20, IF(J9=Reference!$A$19, Reference!$C$19, IF(J9=Reference!$A$18, Reference!$C$18, IF(J9=Reference!$A$17, Reference!$C$17, 0))))</f>
        <v>4</v>
      </c>
      <c r="AA9" s="62">
        <f>IF(L9=Reference!$A$28, Reference!$C$28, IF(L9=Reference!$A$27, Reference!$C$27, IF(L9=Reference!$A$26, Reference!$C$26, IF(L9=Reference!$A$25, Reference!$C$25, 0))))</f>
        <v>7</v>
      </c>
      <c r="AB9" s="62">
        <f>IF(N9=Reference!$A$36, Reference!$C$36, IF(N9=Reference!$A$35, Reference!$C$35, IF(N9=Reference!$A$34, Reference!$C$34, IF(N9=Reference!$A$33, Reference!$C$33, 0))))</f>
        <v>1</v>
      </c>
      <c r="AC9" s="62">
        <f>(Reference!$B$2*Y9 + Reference!$B$3*AA9 + Reference!$B$4*Z9 + Reference!$B$5*AB9)/4</f>
        <v>11.0625</v>
      </c>
      <c r="AD9" s="62">
        <f>IF(Q9=Reference!$C$41, Reference!$D$41, IF(Q9=Reference!$C$42, Reference!$D$42, IF(Q9=Reference!$C$43, Reference!$D$43, IF(Q9=Reference!$C$44, Reference!$D$44, 0))))</f>
        <v>4</v>
      </c>
      <c r="AE9" s="62">
        <f t="shared" si="5"/>
        <v>45.25</v>
      </c>
    </row>
    <row r="10" spans="1:31" ht="54.45" customHeight="1">
      <c r="A10" s="50" t="s">
        <v>213</v>
      </c>
      <c r="B10" s="44" t="s">
        <v>71</v>
      </c>
      <c r="C10" s="44" t="s">
        <v>117</v>
      </c>
      <c r="D10" s="45" t="s">
        <v>214</v>
      </c>
      <c r="E10" s="45" t="s">
        <v>215</v>
      </c>
      <c r="F10" s="44" t="s">
        <v>104</v>
      </c>
      <c r="G10" s="44" t="s">
        <v>216</v>
      </c>
      <c r="H10" s="44" t="s">
        <v>41</v>
      </c>
      <c r="I10" s="44" t="s">
        <v>217</v>
      </c>
      <c r="J10" s="44" t="s">
        <v>44</v>
      </c>
      <c r="K10" s="44" t="s">
        <v>218</v>
      </c>
      <c r="L10" s="44" t="s">
        <v>41</v>
      </c>
      <c r="M10" s="44" t="s">
        <v>219</v>
      </c>
      <c r="N10" s="44" t="s">
        <v>47</v>
      </c>
      <c r="O10" s="44" t="s">
        <v>220</v>
      </c>
      <c r="P10" s="51" t="str">
        <f>IF(AC10&gt;=Reference!$H$2, Reference!$G$2, IF(AC10&gt;=Reference!$H$3, Reference!$G$3, IF(AC10&gt;=Reference!$H$4, Reference!$G$4, IF(AC10&gt;=Reference!$H$5, Reference!$G$5, ""))))</f>
        <v>Severe</v>
      </c>
      <c r="Q10" s="51" t="str">
        <f t="shared" si="4"/>
        <v>Very Low</v>
      </c>
      <c r="R10" s="51" t="str">
        <f>IF(AE10&gt;=Reference!$D$2, Reference!$G$2, IF(AE10&gt;=Reference!$D$3, Reference!$E$3, IF(AE10&gt;=Reference!$D$4, Reference!$E$4, IF(AE10&gt;=Reference!$D$5, Reference!$E$5, ""))))</f>
        <v>Low</v>
      </c>
      <c r="S10" s="52" t="s">
        <v>76</v>
      </c>
      <c r="T10" s="53" t="s">
        <v>221</v>
      </c>
      <c r="U10" s="44" t="s">
        <v>222</v>
      </c>
      <c r="V10" s="44" t="s">
        <v>223</v>
      </c>
      <c r="W10" s="44" t="s">
        <v>224</v>
      </c>
      <c r="X10" s="1"/>
      <c r="Y10" s="62">
        <f>IF(H10=Reference!$A$12, Reference!$C$12, IF(H10=Reference!$A$11, Reference!$C$11, IF(H10=Reference!$A$10, Reference!$C$10, IF(H10=Reference!$A$9, Reference!$C$9, 0))))</f>
        <v>7</v>
      </c>
      <c r="Z10" s="62">
        <f>IF(J10=Reference!$A$20, Reference!$C$20, IF(J10=Reference!$A$19, Reference!$C$19, IF(J10=Reference!$A$18, Reference!$C$18, IF(J10=Reference!$A$17, Reference!$C$17, 0))))</f>
        <v>4</v>
      </c>
      <c r="AA10" s="62">
        <f>IF(L10=Reference!$A$28, Reference!$C$28, IF(L10=Reference!$A$27, Reference!$C$27, IF(L10=Reference!$A$26, Reference!$C$26, IF(L10=Reference!$A$25, Reference!$C$25, 0))))</f>
        <v>7</v>
      </c>
      <c r="AB10" s="62">
        <f>IF(N10=Reference!$A$36, Reference!$C$36, IF(N10=Reference!$A$35, Reference!$C$35, IF(N10=Reference!$A$34, Reference!$C$34, IF(N10=Reference!$A$33, Reference!$C$33, 0))))</f>
        <v>1</v>
      </c>
      <c r="AC10" s="62">
        <f>(Reference!$B$2*Y10 + Reference!$B$3*AA10 + Reference!$B$4*Z10 + Reference!$B$5*AB10)/4</f>
        <v>11.0625</v>
      </c>
      <c r="AD10" s="62">
        <f>IF(Q10=Reference!$C$41, Reference!$D$41, IF(Q10=Reference!$C$42, Reference!$D$42, IF(Q10=Reference!$C$43, Reference!$D$43, IF(Q10=Reference!$C$44, Reference!$D$44, 0))))</f>
        <v>1</v>
      </c>
      <c r="AE10" s="62">
        <f t="shared" si="5"/>
        <v>12.0625</v>
      </c>
    </row>
    <row r="11" spans="1:31" ht="54.45" customHeight="1">
      <c r="A11" s="50" t="s">
        <v>225</v>
      </c>
      <c r="B11" s="44" t="s">
        <v>79</v>
      </c>
      <c r="C11" s="44" t="s">
        <v>226</v>
      </c>
      <c r="D11" s="45" t="s">
        <v>227</v>
      </c>
      <c r="E11" s="45" t="s">
        <v>228</v>
      </c>
      <c r="F11" s="44" t="s">
        <v>102</v>
      </c>
      <c r="G11" s="44" t="s">
        <v>229</v>
      </c>
      <c r="H11" s="44" t="s">
        <v>41</v>
      </c>
      <c r="I11" s="44" t="s">
        <v>230</v>
      </c>
      <c r="J11" s="44" t="s">
        <v>47</v>
      </c>
      <c r="K11" s="54" t="s">
        <v>231</v>
      </c>
      <c r="L11" s="44" t="s">
        <v>41</v>
      </c>
      <c r="M11" s="44" t="s">
        <v>232</v>
      </c>
      <c r="N11" s="44" t="s">
        <v>47</v>
      </c>
      <c r="O11" s="44" t="s">
        <v>233</v>
      </c>
      <c r="P11" s="51" t="str">
        <f>IF(AC11&gt;=Reference!$H$2, Reference!$G$2, IF(AC11&gt;=Reference!$H$3, Reference!$G$3, IF(AC11&gt;=Reference!$H$4, Reference!$G$4, IF(AC11&gt;=Reference!$H$5, Reference!$G$5, ""))))</f>
        <v>Severe</v>
      </c>
      <c r="Q11" s="51" t="str">
        <f t="shared" si="4"/>
        <v>Low</v>
      </c>
      <c r="R11" s="51" t="str">
        <f>IF(AE11&gt;=Reference!$D$2, Reference!$G$2, IF(AE11&gt;=Reference!$D$3, Reference!$E$3, IF(AE11&gt;=Reference!$D$4, Reference!$E$4, IF(AE11&gt;=Reference!$D$5, Reference!$E$5, ""))))</f>
        <v>Medium</v>
      </c>
      <c r="S11" s="52" t="s">
        <v>76</v>
      </c>
      <c r="T11" s="53" t="s">
        <v>234</v>
      </c>
      <c r="U11" s="44" t="s">
        <v>235</v>
      </c>
      <c r="V11" s="44" t="s">
        <v>236</v>
      </c>
      <c r="W11" s="44" t="s">
        <v>237</v>
      </c>
      <c r="Y11" s="62">
        <f>IF(H11=Reference!$A$12, Reference!$C$12, IF(H11=Reference!$A$11, Reference!$C$11, IF(H11=Reference!$A$10, Reference!$C$10, IF(H11=Reference!$A$9, Reference!$C$9, 0))))</f>
        <v>7</v>
      </c>
      <c r="Z11" s="62">
        <f>IF(J11=Reference!$A$20, Reference!$C$20, IF(J11=Reference!$A$19, Reference!$C$19, IF(J11=Reference!$A$18, Reference!$C$18, IF(J11=Reference!$A$17, Reference!$C$17, 0))))</f>
        <v>1</v>
      </c>
      <c r="AA11" s="62">
        <f>IF(L11=Reference!$A$28, Reference!$C$28, IF(L11=Reference!$A$27, Reference!$C$27, IF(L11=Reference!$A$26, Reference!$C$26, IF(L11=Reference!$A$25, Reference!$C$25, 0))))</f>
        <v>7</v>
      </c>
      <c r="AB11" s="62">
        <f>IF(N11=Reference!$A$36, Reference!$C$36, IF(N11=Reference!$A$35, Reference!$C$35, IF(N11=Reference!$A$34, Reference!$C$34, IF(N11=Reference!$A$33, Reference!$C$33, 0))))</f>
        <v>1</v>
      </c>
      <c r="AC11" s="62">
        <f>(Reference!$B$2*Y11 + Reference!$B$3*AA11 + Reference!$B$4*Z11 + Reference!$B$5*AB11)/4</f>
        <v>10.6875</v>
      </c>
      <c r="AD11" s="62">
        <f>IF(Q11=Reference!$C$41, Reference!$D$41, IF(Q11=Reference!$C$42, Reference!$D$42, IF(Q11=Reference!$C$43, Reference!$D$43, IF(Q11=Reference!$C$44, Reference!$D$44, 0))))</f>
        <v>4</v>
      </c>
      <c r="AE11" s="62">
        <f t="shared" si="5"/>
        <v>43.75</v>
      </c>
    </row>
    <row r="12" spans="1:31" ht="54.45" customHeight="1">
      <c r="A12" s="50" t="s">
        <v>238</v>
      </c>
      <c r="B12" s="44" t="s">
        <v>71</v>
      </c>
      <c r="C12" s="44" t="s">
        <v>117</v>
      </c>
      <c r="D12" s="58" t="s">
        <v>239</v>
      </c>
      <c r="E12" s="58" t="s">
        <v>240</v>
      </c>
      <c r="F12" s="44" t="s">
        <v>104</v>
      </c>
      <c r="G12" s="44" t="s">
        <v>241</v>
      </c>
      <c r="H12" s="44" t="s">
        <v>41</v>
      </c>
      <c r="I12" s="44" t="s">
        <v>242</v>
      </c>
      <c r="J12" s="44" t="s">
        <v>44</v>
      </c>
      <c r="K12" s="44" t="s">
        <v>243</v>
      </c>
      <c r="L12" s="44" t="s">
        <v>41</v>
      </c>
      <c r="M12" s="54" t="s">
        <v>244</v>
      </c>
      <c r="N12" s="44" t="s">
        <v>47</v>
      </c>
      <c r="O12" s="44" t="s">
        <v>245</v>
      </c>
      <c r="P12" s="51" t="str">
        <f>IF(AC12&gt;=Reference!$H$2, Reference!$G$2, IF(AC12&gt;=Reference!$H$3, Reference!$G$3, IF(AC12&gt;=Reference!$H$4, Reference!$G$4, IF(AC12&gt;=Reference!$H$5, Reference!$G$5, ""))))</f>
        <v>Severe</v>
      </c>
      <c r="Q12" s="51" t="str">
        <f t="shared" si="4"/>
        <v>Very Low</v>
      </c>
      <c r="R12" s="51" t="str">
        <f>IF(AE12&gt;=Reference!$D$2, Reference!$G$2, IF(AE12&gt;=Reference!$D$3, Reference!$E$3, IF(AE12&gt;=Reference!$D$4, Reference!$E$4, IF(AE12&gt;=Reference!$D$5, Reference!$E$5, ""))))</f>
        <v>Low</v>
      </c>
      <c r="S12" s="52" t="s">
        <v>76</v>
      </c>
      <c r="T12" s="53" t="s">
        <v>246</v>
      </c>
      <c r="U12" s="54" t="s">
        <v>247</v>
      </c>
      <c r="V12" s="54" t="s">
        <v>248</v>
      </c>
      <c r="W12" s="44" t="s">
        <v>249</v>
      </c>
      <c r="Y12" s="62">
        <f>IF(H12=Reference!$A$12, Reference!$C$12, IF(H12=Reference!$A$11, Reference!$C$11, IF(H12=Reference!$A$10, Reference!$C$10, IF(H12=Reference!$A$9, Reference!$C$9, 0))))</f>
        <v>7</v>
      </c>
      <c r="Z12" s="62">
        <f>IF(J12=Reference!$A$20, Reference!$C$20, IF(J12=Reference!$A$19, Reference!$C$19, IF(J12=Reference!$A$18, Reference!$C$18, IF(J12=Reference!$A$17, Reference!$C$17, 0))))</f>
        <v>4</v>
      </c>
      <c r="AA12" s="62">
        <f>IF(L12=Reference!$A$28, Reference!$C$28, IF(L12=Reference!$A$27, Reference!$C$27, IF(L12=Reference!$A$26, Reference!$C$26, IF(L12=Reference!$A$25, Reference!$C$25, 0))))</f>
        <v>7</v>
      </c>
      <c r="AB12" s="62">
        <f>IF(N12=Reference!$A$36, Reference!$C$36, IF(N12=Reference!$A$35, Reference!$C$35, IF(N12=Reference!$A$34, Reference!$C$34, IF(N12=Reference!$A$33, Reference!$C$33, 0))))</f>
        <v>1</v>
      </c>
      <c r="AC12" s="62">
        <f>(Reference!$B$2*Y12 + Reference!$B$3*AA12 + Reference!$B$4*Z12 + Reference!$B$5*AB12)/4</f>
        <v>11.0625</v>
      </c>
      <c r="AD12" s="62">
        <f>IF(Q12=Reference!$C$41, Reference!$D$41, IF(Q12=Reference!$C$42, Reference!$D$42, IF(Q12=Reference!$C$43, Reference!$D$43, IF(Q12=Reference!$C$44, Reference!$D$44, 0))))</f>
        <v>1</v>
      </c>
      <c r="AE12" s="62">
        <f t="shared" si="5"/>
        <v>12.0625</v>
      </c>
    </row>
    <row r="13" spans="1:31" ht="54.45" customHeight="1">
      <c r="A13" s="50" t="s">
        <v>250</v>
      </c>
      <c r="B13" s="44" t="s">
        <v>67</v>
      </c>
      <c r="C13" s="44" t="s">
        <v>117</v>
      </c>
      <c r="D13" s="58" t="s">
        <v>251</v>
      </c>
      <c r="E13" s="45" t="s">
        <v>252</v>
      </c>
      <c r="F13" s="44" t="s">
        <v>100</v>
      </c>
      <c r="G13" s="54" t="s">
        <v>253</v>
      </c>
      <c r="H13" s="44" t="s">
        <v>47</v>
      </c>
      <c r="I13" s="54" t="s">
        <v>254</v>
      </c>
      <c r="J13" s="44" t="s">
        <v>47</v>
      </c>
      <c r="K13" s="44" t="s">
        <v>255</v>
      </c>
      <c r="L13" s="44" t="s">
        <v>44</v>
      </c>
      <c r="M13" s="54" t="s">
        <v>256</v>
      </c>
      <c r="N13" s="44" t="s">
        <v>41</v>
      </c>
      <c r="O13" s="44" t="s">
        <v>257</v>
      </c>
      <c r="P13" s="51" t="str">
        <f>IF(AC13&gt;=Reference!$H$2, Reference!$G$2, IF(AC13&gt;=Reference!$H$3, Reference!$G$3, IF(AC13&gt;=Reference!$H$4, Reference!$G$4, IF(AC13&gt;=Reference!$H$5, Reference!$G$5, ""))))</f>
        <v>Moderate</v>
      </c>
      <c r="Q13" s="51" t="str">
        <f t="shared" si="4"/>
        <v>Medium</v>
      </c>
      <c r="R13" s="51" t="str">
        <f>IF(AE13&gt;=Reference!$D$2, Reference!$G$2, IF(AE13&gt;=Reference!$D$3, Reference!$E$3, IF(AE13&gt;=Reference!$D$4, Reference!$E$4, IF(AE13&gt;=Reference!$D$5, Reference!$E$5, ""))))</f>
        <v>Medium</v>
      </c>
      <c r="S13" s="52" t="s">
        <v>76</v>
      </c>
      <c r="T13" s="53" t="s">
        <v>258</v>
      </c>
      <c r="U13" s="44" t="s">
        <v>259</v>
      </c>
      <c r="V13" s="54" t="s">
        <v>260</v>
      </c>
      <c r="W13" s="44" t="s">
        <v>261</v>
      </c>
      <c r="Y13" s="62">
        <f>IF(H13=Reference!$A$12, Reference!$C$12, IF(H13=Reference!$A$11, Reference!$C$11, IF(H13=Reference!$A$10, Reference!$C$10, IF(H13=Reference!$A$9, Reference!$C$9, 0))))</f>
        <v>1</v>
      </c>
      <c r="Z13" s="62">
        <f>IF(J13=Reference!$A$20, Reference!$C$20, IF(J13=Reference!$A$19, Reference!$C$19, IF(J13=Reference!$A$18, Reference!$C$18, IF(J13=Reference!$A$17, Reference!$C$17, 0))))</f>
        <v>1</v>
      </c>
      <c r="AA13" s="62">
        <f>IF(L13=Reference!$A$28, Reference!$C$28, IF(L13=Reference!$A$27, Reference!$C$27, IF(L13=Reference!$A$26, Reference!$C$26, IF(L13=Reference!$A$25, Reference!$C$25, 0))))</f>
        <v>4</v>
      </c>
      <c r="AB13" s="62">
        <f>IF(N13=Reference!$A$36, Reference!$C$36, IF(N13=Reference!$A$35, Reference!$C$35, IF(N13=Reference!$A$34, Reference!$C$34, IF(N13=Reference!$A$33, Reference!$C$33, 0))))</f>
        <v>7</v>
      </c>
      <c r="AC13" s="62">
        <f>(Reference!$B$2*Y13 + Reference!$B$3*AA13 + Reference!$B$4*Z13 + Reference!$B$5*AB13)/4</f>
        <v>2.8125</v>
      </c>
      <c r="AD13" s="62">
        <f>IF(Q13=Reference!$C$41, Reference!$D$41, IF(Q13=Reference!$C$42, Reference!$D$42, IF(Q13=Reference!$C$43, Reference!$D$43, IF(Q13=Reference!$C$44, Reference!$D$44, 0))))</f>
        <v>7</v>
      </c>
      <c r="AE13" s="62">
        <f t="shared" si="5"/>
        <v>20.6875</v>
      </c>
    </row>
    <row r="14" spans="1:31" ht="54.45" customHeight="1">
      <c r="A14" s="50" t="s">
        <v>262</v>
      </c>
      <c r="B14" s="44" t="s">
        <v>79</v>
      </c>
      <c r="C14" s="44" t="s">
        <v>226</v>
      </c>
      <c r="D14" s="45" t="s">
        <v>263</v>
      </c>
      <c r="E14" s="45" t="s">
        <v>264</v>
      </c>
      <c r="F14" s="44" t="s">
        <v>100</v>
      </c>
      <c r="G14" s="44" t="s">
        <v>265</v>
      </c>
      <c r="H14" s="44" t="s">
        <v>47</v>
      </c>
      <c r="I14" s="44" t="s">
        <v>266</v>
      </c>
      <c r="J14" s="44" t="s">
        <v>47</v>
      </c>
      <c r="K14" s="44" t="s">
        <v>267</v>
      </c>
      <c r="L14" s="44" t="s">
        <v>44</v>
      </c>
      <c r="M14" s="44" t="s">
        <v>268</v>
      </c>
      <c r="N14" s="44" t="s">
        <v>44</v>
      </c>
      <c r="O14" s="44" t="s">
        <v>269</v>
      </c>
      <c r="P14" s="51" t="str">
        <f>IF(AC14&gt;=Reference!$H$2, Reference!$G$2, IF(AC14&gt;=Reference!$H$3, Reference!$G$3, IF(AC14&gt;=Reference!$H$4, Reference!$G$4, IF(AC14&gt;=Reference!$H$5, Reference!$G$5, ""))))</f>
        <v>Moderate</v>
      </c>
      <c r="Q14" s="51" t="str">
        <f t="shared" si="4"/>
        <v>Medium</v>
      </c>
      <c r="R14" s="51" t="str">
        <f>IF(AE14&gt;=Reference!$D$2, Reference!$G$2, IF(AE14&gt;=Reference!$D$3, Reference!$E$3, IF(AE14&gt;=Reference!$D$4, Reference!$E$4, IF(AE14&gt;=Reference!$D$5, Reference!$E$5, ""))))</f>
        <v>Medium</v>
      </c>
      <c r="S14" s="52" t="s">
        <v>76</v>
      </c>
      <c r="T14" s="53" t="s">
        <v>270</v>
      </c>
      <c r="U14" s="44" t="s">
        <v>271</v>
      </c>
      <c r="V14" s="44" t="s">
        <v>272</v>
      </c>
      <c r="W14" s="44" t="s">
        <v>273</v>
      </c>
      <c r="Y14" s="62">
        <f>IF(H14=Reference!$A$12, Reference!$C$12, IF(H14=Reference!$A$11, Reference!$C$11, IF(H14=Reference!$A$10, Reference!$C$10, IF(H14=Reference!$A$9, Reference!$C$9, 0))))</f>
        <v>1</v>
      </c>
      <c r="Z14" s="62">
        <f>IF(J14=Reference!$A$20, Reference!$C$20, IF(J14=Reference!$A$19, Reference!$C$19, IF(J14=Reference!$A$18, Reference!$C$18, IF(J14=Reference!$A$17, Reference!$C$17, 0))))</f>
        <v>1</v>
      </c>
      <c r="AA14" s="62">
        <f>IF(L14=Reference!$A$28, Reference!$C$28, IF(L14=Reference!$A$27, Reference!$C$27, IF(L14=Reference!$A$26, Reference!$C$26, IF(L14=Reference!$A$25, Reference!$C$25, 0))))</f>
        <v>4</v>
      </c>
      <c r="AB14" s="62">
        <f>IF(N14=Reference!$A$36, Reference!$C$36, IF(N14=Reference!$A$35, Reference!$C$35, IF(N14=Reference!$A$34, Reference!$C$34, IF(N14=Reference!$A$33, Reference!$C$33, 0))))</f>
        <v>4</v>
      </c>
      <c r="AC14" s="62">
        <f>(Reference!$B$2*Y14 + Reference!$B$3*AA14 + Reference!$B$4*Z14 + Reference!$B$5*AB14)/4</f>
        <v>2.625</v>
      </c>
      <c r="AD14" s="62">
        <f>IF(Q14=Reference!$C$41, Reference!$D$41, IF(Q14=Reference!$C$42, Reference!$D$42, IF(Q14=Reference!$C$43, Reference!$D$43, IF(Q14=Reference!$C$44, Reference!$D$44, 0))))</f>
        <v>7</v>
      </c>
      <c r="AE14" s="62">
        <f t="shared" si="5"/>
        <v>19.375</v>
      </c>
    </row>
    <row r="15" spans="1:31" ht="54.45" customHeight="1">
      <c r="A15" s="50" t="s">
        <v>274</v>
      </c>
      <c r="B15" s="44" t="s">
        <v>71</v>
      </c>
      <c r="C15" s="44" t="s">
        <v>154</v>
      </c>
      <c r="D15" s="58" t="s">
        <v>275</v>
      </c>
      <c r="E15" s="45" t="s">
        <v>276</v>
      </c>
      <c r="F15" s="44" t="s">
        <v>102</v>
      </c>
      <c r="G15" s="44" t="s">
        <v>277</v>
      </c>
      <c r="H15" s="44" t="s">
        <v>47</v>
      </c>
      <c r="I15" s="44" t="s">
        <v>278</v>
      </c>
      <c r="J15" s="44" t="s">
        <v>47</v>
      </c>
      <c r="K15" s="44" t="s">
        <v>279</v>
      </c>
      <c r="L15" s="44" t="s">
        <v>44</v>
      </c>
      <c r="M15" s="44" t="s">
        <v>280</v>
      </c>
      <c r="N15" s="44" t="s">
        <v>41</v>
      </c>
      <c r="O15" s="44" t="s">
        <v>281</v>
      </c>
      <c r="P15" s="51" t="str">
        <f>IF(AC15&gt;=Reference!$H$2, Reference!$G$2, IF(AC15&gt;=Reference!$H$3, Reference!$G$3, IF(AC15&gt;=Reference!$H$4, Reference!$G$4, IF(AC15&gt;=Reference!$H$5, Reference!$G$5, ""))))</f>
        <v>Moderate</v>
      </c>
      <c r="Q15" s="51" t="str">
        <f t="shared" si="4"/>
        <v>Low</v>
      </c>
      <c r="R15" s="51" t="str">
        <f>IF(AE15&gt;=Reference!$D$2, Reference!$G$2, IF(AE15&gt;=Reference!$D$3, Reference!$E$3, IF(AE15&gt;=Reference!$D$4, Reference!$E$4, IF(AE15&gt;=Reference!$D$5, Reference!$E$5, ""))))</f>
        <v>Low</v>
      </c>
      <c r="S15" s="52" t="s">
        <v>76</v>
      </c>
      <c r="T15" s="53" t="s">
        <v>282</v>
      </c>
      <c r="U15" s="44" t="s">
        <v>283</v>
      </c>
      <c r="V15" s="44" t="s">
        <v>284</v>
      </c>
      <c r="W15" s="44" t="s">
        <v>285</v>
      </c>
      <c r="X15" s="1"/>
      <c r="Y15" s="62">
        <f>IF(H15=Reference!$A$12, Reference!$C$12, IF(H15=Reference!$A$11, Reference!$C$11, IF(H15=Reference!$A$10, Reference!$C$10, IF(H15=Reference!$A$9, Reference!$C$9, 0))))</f>
        <v>1</v>
      </c>
      <c r="Z15" s="62">
        <f>IF(J15=Reference!$A$20, Reference!$C$20, IF(J15=Reference!$A$19, Reference!$C$19, IF(J15=Reference!$A$18, Reference!$C$18, IF(J15=Reference!$A$17, Reference!$C$17, 0))))</f>
        <v>1</v>
      </c>
      <c r="AA15" s="62">
        <f>IF(L15=Reference!$A$28, Reference!$C$28, IF(L15=Reference!$A$27, Reference!$C$27, IF(L15=Reference!$A$26, Reference!$C$26, IF(L15=Reference!$A$25, Reference!$C$25, 0))))</f>
        <v>4</v>
      </c>
      <c r="AB15" s="62">
        <f>IF(N15=Reference!$A$36, Reference!$C$36, IF(N15=Reference!$A$35, Reference!$C$35, IF(N15=Reference!$A$34, Reference!$C$34, IF(N15=Reference!$A$33, Reference!$C$33, 0))))</f>
        <v>7</v>
      </c>
      <c r="AC15" s="62">
        <f>(Reference!$B$2*Y15 + Reference!$B$3*AA15 + Reference!$B$4*Z15 + Reference!$B$5*AB15)/4</f>
        <v>2.8125</v>
      </c>
      <c r="AD15" s="62">
        <f>IF(Q15=Reference!$C$41, Reference!$D$41, IF(Q15=Reference!$C$42, Reference!$D$42, IF(Q15=Reference!$C$43, Reference!$D$43, IF(Q15=Reference!$C$44, Reference!$D$44, 0))))</f>
        <v>4</v>
      </c>
      <c r="AE15" s="62">
        <f t="shared" si="5"/>
        <v>12.25</v>
      </c>
    </row>
    <row r="16" spans="1:31" ht="54.45" customHeight="1">
      <c r="A16" s="50" t="s">
        <v>286</v>
      </c>
      <c r="B16" s="44" t="s">
        <v>67</v>
      </c>
      <c r="C16" s="44" t="s">
        <v>117</v>
      </c>
      <c r="D16" s="58" t="s">
        <v>287</v>
      </c>
      <c r="E16" s="45" t="s">
        <v>288</v>
      </c>
      <c r="F16" s="44" t="s">
        <v>100</v>
      </c>
      <c r="G16" s="54" t="s">
        <v>289</v>
      </c>
      <c r="H16" s="44" t="s">
        <v>44</v>
      </c>
      <c r="I16" s="44" t="s">
        <v>290</v>
      </c>
      <c r="J16" s="44" t="s">
        <v>44</v>
      </c>
      <c r="K16" s="44" t="s">
        <v>291</v>
      </c>
      <c r="L16" s="44" t="s">
        <v>44</v>
      </c>
      <c r="M16" s="54" t="s">
        <v>292</v>
      </c>
      <c r="N16" s="44" t="s">
        <v>44</v>
      </c>
      <c r="O16" s="44" t="s">
        <v>293</v>
      </c>
      <c r="P16" s="51" t="str">
        <f>IF(AC16&gt;=Reference!$H$2, Reference!$G$2, IF(AC16&gt;=Reference!$H$3, Reference!$G$3, IF(AC16&gt;=Reference!$H$4, Reference!$G$4, IF(AC16&gt;=Reference!$H$5, Reference!$G$5, ""))))</f>
        <v>Major</v>
      </c>
      <c r="Q16" s="51" t="str">
        <f t="shared" si="4"/>
        <v>Medium</v>
      </c>
      <c r="R16" s="51" t="str">
        <f>IF(AE16&gt;=Reference!$D$2, Reference!$G$2, IF(AE16&gt;=Reference!$D$3, Reference!$E$3, IF(AE16&gt;=Reference!$D$4, Reference!$E$4, IF(AE16&gt;=Reference!$D$5, Reference!$E$5, ""))))</f>
        <v>Medium</v>
      </c>
      <c r="S16" s="52" t="s">
        <v>76</v>
      </c>
      <c r="T16" s="53" t="s">
        <v>294</v>
      </c>
      <c r="U16" s="54" t="s">
        <v>295</v>
      </c>
      <c r="V16" s="54" t="s">
        <v>296</v>
      </c>
      <c r="W16" s="44" t="s">
        <v>297</v>
      </c>
      <c r="Y16" s="62">
        <f>IF(H16=Reference!$A$12, Reference!$C$12, IF(H16=Reference!$A$11, Reference!$C$11, IF(H16=Reference!$A$10, Reference!$C$10, IF(H16=Reference!$A$9, Reference!$C$9, 0))))</f>
        <v>4</v>
      </c>
      <c r="Z16" s="62">
        <f>IF(J16=Reference!$A$20, Reference!$C$20, IF(J16=Reference!$A$19, Reference!$C$19, IF(J16=Reference!$A$18, Reference!$C$18, IF(J16=Reference!$A$17, Reference!$C$17, 0))))</f>
        <v>4</v>
      </c>
      <c r="AA16" s="62">
        <f>IF(L16=Reference!$A$28, Reference!$C$28, IF(L16=Reference!$A$27, Reference!$C$27, IF(L16=Reference!$A$26, Reference!$C$26, IF(L16=Reference!$A$25, Reference!$C$25, 0))))</f>
        <v>4</v>
      </c>
      <c r="AB16" s="62">
        <f>IF(N16=Reference!$A$36, Reference!$C$36, IF(N16=Reference!$A$35, Reference!$C$35, IF(N16=Reference!$A$34, Reference!$C$34, IF(N16=Reference!$A$33, Reference!$C$33, 0))))</f>
        <v>4</v>
      </c>
      <c r="AC16" s="62">
        <f>(Reference!$B$2*Y16 + Reference!$B$3*AA16 + Reference!$B$4*Z16 + Reference!$B$5*AB16)/4</f>
        <v>6.75</v>
      </c>
      <c r="AD16" s="62">
        <f>IF(Q16=Reference!$C$41, Reference!$D$41, IF(Q16=Reference!$C$42, Reference!$D$42, IF(Q16=Reference!$C$43, Reference!$D$43, IF(Q16=Reference!$C$44, Reference!$D$44, 0))))</f>
        <v>7</v>
      </c>
      <c r="AE16" s="62">
        <f t="shared" si="5"/>
        <v>48.25</v>
      </c>
    </row>
    <row r="17" spans="1:31" ht="54.45" customHeight="1">
      <c r="A17" s="50" t="s">
        <v>298</v>
      </c>
      <c r="B17" s="44" t="s">
        <v>299</v>
      </c>
      <c r="C17" s="44" t="s">
        <v>300</v>
      </c>
      <c r="D17" s="45" t="s">
        <v>301</v>
      </c>
      <c r="E17" s="45" t="s">
        <v>302</v>
      </c>
      <c r="F17" s="44" t="s">
        <v>100</v>
      </c>
      <c r="G17" s="44" t="s">
        <v>303</v>
      </c>
      <c r="H17" s="44" t="s">
        <v>47</v>
      </c>
      <c r="I17" s="44" t="s">
        <v>304</v>
      </c>
      <c r="J17" s="44" t="s">
        <v>41</v>
      </c>
      <c r="K17" s="44" t="s">
        <v>305</v>
      </c>
      <c r="L17" s="44" t="s">
        <v>44</v>
      </c>
      <c r="M17" s="44" t="s">
        <v>306</v>
      </c>
      <c r="N17" s="44" t="s">
        <v>41</v>
      </c>
      <c r="O17" s="44" t="s">
        <v>307</v>
      </c>
      <c r="P17" s="51" t="str">
        <f>IF(AC17&gt;=Reference!$H$2, Reference!$G$2, IF(AC17&gt;=Reference!$H$3, Reference!$G$3, IF(AC17&gt;=Reference!$H$4, Reference!$G$4, IF(AC17&gt;=Reference!$H$5, Reference!$G$5, ""))))</f>
        <v>Moderate</v>
      </c>
      <c r="Q17" s="51" t="str">
        <f t="shared" si="4"/>
        <v>Medium</v>
      </c>
      <c r="R17" s="51" t="str">
        <f>IF(AE17&gt;=Reference!$D$2, Reference!$G$2, IF(AE17&gt;=Reference!$D$3, Reference!$E$3, IF(AE17&gt;=Reference!$D$4, Reference!$E$4, IF(AE17&gt;=Reference!$D$5, Reference!$E$5, ""))))</f>
        <v>Medium</v>
      </c>
      <c r="S17" s="52" t="s">
        <v>76</v>
      </c>
      <c r="T17" s="53" t="s">
        <v>308</v>
      </c>
      <c r="U17" s="44" t="s">
        <v>309</v>
      </c>
      <c r="V17" s="44" t="s">
        <v>310</v>
      </c>
      <c r="W17" s="44" t="s">
        <v>311</v>
      </c>
      <c r="Y17" s="62">
        <f>IF(H17=Reference!$A$12, Reference!$C$12, IF(H17=Reference!$A$11, Reference!$C$11, IF(H17=Reference!$A$10, Reference!$C$10, IF(H17=Reference!$A$9, Reference!$C$9, 0))))</f>
        <v>1</v>
      </c>
      <c r="Z17" s="62">
        <f>IF(J17=Reference!$A$20, Reference!$C$20, IF(J17=Reference!$A$19, Reference!$C$19, IF(J17=Reference!$A$18, Reference!$C$18, IF(J17=Reference!$A$17, Reference!$C$17, 0))))</f>
        <v>7</v>
      </c>
      <c r="AA17" s="62">
        <f>IF(L17=Reference!$A$28, Reference!$C$28, IF(L17=Reference!$A$27, Reference!$C$27, IF(L17=Reference!$A$26, Reference!$C$26, IF(L17=Reference!$A$25, Reference!$C$25, 0))))</f>
        <v>4</v>
      </c>
      <c r="AB17" s="62">
        <f>IF(N17=Reference!$A$36, Reference!$C$36, IF(N17=Reference!$A$35, Reference!$C$35, IF(N17=Reference!$A$34, Reference!$C$34, IF(N17=Reference!$A$33, Reference!$C$33, 0))))</f>
        <v>7</v>
      </c>
      <c r="AC17" s="62">
        <f>(Reference!$B$2*Y17 + Reference!$B$3*AA17 + Reference!$B$4*Z17 + Reference!$B$5*AB17)/4</f>
        <v>3.5625</v>
      </c>
      <c r="AD17" s="62">
        <f>IF(Q17=Reference!$C$41, Reference!$D$41, IF(Q17=Reference!$C$42, Reference!$D$42, IF(Q17=Reference!$C$43, Reference!$D$43, IF(Q17=Reference!$C$44, Reference!$D$44, 0))))</f>
        <v>7</v>
      </c>
      <c r="AE17" s="62">
        <f t="shared" si="5"/>
        <v>25.9375</v>
      </c>
    </row>
    <row r="18" spans="1:31" ht="54.45" customHeight="1">
      <c r="A18" s="50" t="s">
        <v>312</v>
      </c>
      <c r="B18" s="44" t="s">
        <v>71</v>
      </c>
      <c r="C18" s="44" t="s">
        <v>117</v>
      </c>
      <c r="D18" s="45" t="s">
        <v>313</v>
      </c>
      <c r="E18" s="45" t="s">
        <v>288</v>
      </c>
      <c r="F18" s="44" t="s">
        <v>100</v>
      </c>
      <c r="G18" s="44" t="s">
        <v>314</v>
      </c>
      <c r="H18" s="44" t="s">
        <v>41</v>
      </c>
      <c r="I18" s="44" t="s">
        <v>315</v>
      </c>
      <c r="J18" s="44" t="s">
        <v>44</v>
      </c>
      <c r="K18" s="44" t="s">
        <v>316</v>
      </c>
      <c r="L18" s="44" t="s">
        <v>41</v>
      </c>
      <c r="M18" s="44" t="s">
        <v>317</v>
      </c>
      <c r="N18" s="44" t="s">
        <v>47</v>
      </c>
      <c r="O18" s="44" t="s">
        <v>318</v>
      </c>
      <c r="P18" s="51" t="str">
        <f>IF(AC18&gt;=Reference!$H$2, Reference!$G$2, IF(AC18&gt;=Reference!$H$3, Reference!$G$3, IF(AC18&gt;=Reference!$H$4, Reference!$G$4, IF(AC18&gt;=Reference!$H$5, Reference!$G$5, ""))))</f>
        <v>Severe</v>
      </c>
      <c r="Q18" s="51" t="str">
        <f t="shared" si="4"/>
        <v>Medium</v>
      </c>
      <c r="R18" s="51" t="str">
        <f>IF(AE18&gt;=Reference!$D$2, Reference!$G$2, IF(AE18&gt;=Reference!$D$3, Reference!$E$3, IF(AE18&gt;=Reference!$D$4, Reference!$E$4, IF(AE18&gt;=Reference!$D$5, Reference!$E$5, ""))))</f>
        <v>High</v>
      </c>
      <c r="S18" s="52" t="s">
        <v>76</v>
      </c>
      <c r="T18" s="53" t="s">
        <v>319</v>
      </c>
      <c r="U18" s="44" t="s">
        <v>320</v>
      </c>
      <c r="V18" s="44" t="s">
        <v>321</v>
      </c>
      <c r="W18" s="44" t="s">
        <v>322</v>
      </c>
      <c r="X18" s="1"/>
      <c r="Y18" s="62">
        <f>IF(H18=Reference!$A$12, Reference!$C$12, IF(H18=Reference!$A$11, Reference!$C$11, IF(H18=Reference!$A$10, Reference!$C$10, IF(H18=Reference!$A$9, Reference!$C$9, 0))))</f>
        <v>7</v>
      </c>
      <c r="Z18" s="62">
        <f>IF(J18=Reference!$A$20, Reference!$C$20, IF(J18=Reference!$A$19, Reference!$C$19, IF(J18=Reference!$A$18, Reference!$C$18, IF(J18=Reference!$A$17, Reference!$C$17, 0))))</f>
        <v>4</v>
      </c>
      <c r="AA18" s="62">
        <f>IF(L18=Reference!$A$28, Reference!$C$28, IF(L18=Reference!$A$27, Reference!$C$27, IF(L18=Reference!$A$26, Reference!$C$26, IF(L18=Reference!$A$25, Reference!$C$25, 0))))</f>
        <v>7</v>
      </c>
      <c r="AB18" s="62">
        <f>IF(N18=Reference!$A$36, Reference!$C$36, IF(N18=Reference!$A$35, Reference!$C$35, IF(N18=Reference!$A$34, Reference!$C$34, IF(N18=Reference!$A$33, Reference!$C$33, 0))))</f>
        <v>1</v>
      </c>
      <c r="AC18" s="62">
        <f>(Reference!$B$2*Y18 + Reference!$B$3*AA18 + Reference!$B$4*Z18 + Reference!$B$5*AB18)/4</f>
        <v>11.0625</v>
      </c>
      <c r="AD18" s="62">
        <f>IF(Q18=Reference!$C$41, Reference!$D$41, IF(Q18=Reference!$C$42, Reference!$D$42, IF(Q18=Reference!$C$43, Reference!$D$43, IF(Q18=Reference!$C$44, Reference!$D$44, 0))))</f>
        <v>7</v>
      </c>
      <c r="AE18" s="62">
        <f t="shared" si="5"/>
        <v>78.4375</v>
      </c>
    </row>
    <row r="19" spans="1:31" ht="54.45" customHeight="1">
      <c r="A19" s="50" t="s">
        <v>323</v>
      </c>
      <c r="B19" s="44" t="s">
        <v>79</v>
      </c>
      <c r="C19" s="44" t="s">
        <v>226</v>
      </c>
      <c r="D19" s="45" t="s">
        <v>324</v>
      </c>
      <c r="E19" s="45" t="s">
        <v>288</v>
      </c>
      <c r="F19" s="44" t="s">
        <v>100</v>
      </c>
      <c r="G19" s="44" t="s">
        <v>325</v>
      </c>
      <c r="H19" s="44" t="s">
        <v>44</v>
      </c>
      <c r="I19" s="44" t="s">
        <v>326</v>
      </c>
      <c r="J19" s="44" t="s">
        <v>47</v>
      </c>
      <c r="K19" s="44" t="s">
        <v>327</v>
      </c>
      <c r="L19" s="44" t="s">
        <v>44</v>
      </c>
      <c r="M19" s="44" t="s">
        <v>328</v>
      </c>
      <c r="N19" s="44" t="s">
        <v>47</v>
      </c>
      <c r="O19" s="44" t="s">
        <v>329</v>
      </c>
      <c r="P19" s="51" t="str">
        <f>IF(AC19&gt;=Reference!$H$2, Reference!$G$2, IF(AC19&gt;=Reference!$H$3, Reference!$G$3, IF(AC19&gt;=Reference!$H$4, Reference!$G$4, IF(AC19&gt;=Reference!$H$5, Reference!$G$5, ""))))</f>
        <v>Major</v>
      </c>
      <c r="Q19" s="51" t="str">
        <f t="shared" si="4"/>
        <v>Medium</v>
      </c>
      <c r="R19" s="51" t="str">
        <f>IF(AE19&gt;=Reference!$D$2, Reference!$G$2, IF(AE19&gt;=Reference!$D$3, Reference!$E$3, IF(AE19&gt;=Reference!$D$4, Reference!$E$4, IF(AE19&gt;=Reference!$D$5, Reference!$E$5, ""))))</f>
        <v>Medium</v>
      </c>
      <c r="S19" s="52" t="s">
        <v>76</v>
      </c>
      <c r="T19" s="53" t="s">
        <v>330</v>
      </c>
      <c r="U19" s="44" t="s">
        <v>331</v>
      </c>
      <c r="V19" s="44" t="s">
        <v>332</v>
      </c>
      <c r="W19" s="44" t="s">
        <v>333</v>
      </c>
      <c r="Y19" s="62">
        <f>IF(H19=Reference!$A$12, Reference!$C$12, IF(H19=Reference!$A$11, Reference!$C$11, IF(H19=Reference!$A$10, Reference!$C$10, IF(H19=Reference!$A$9, Reference!$C$9, 0))))</f>
        <v>4</v>
      </c>
      <c r="Z19" s="62">
        <f>IF(J19=Reference!$A$20, Reference!$C$20, IF(J19=Reference!$A$19, Reference!$C$19, IF(J19=Reference!$A$18, Reference!$C$18, IF(J19=Reference!$A$17, Reference!$C$17, 0))))</f>
        <v>1</v>
      </c>
      <c r="AA19" s="62">
        <f>IF(L19=Reference!$A$28, Reference!$C$28, IF(L19=Reference!$A$27, Reference!$C$27, IF(L19=Reference!$A$26, Reference!$C$26, IF(L19=Reference!$A$25, Reference!$C$25, 0))))</f>
        <v>4</v>
      </c>
      <c r="AB19" s="62">
        <f>IF(N19=Reference!$A$36, Reference!$C$36, IF(N19=Reference!$A$35, Reference!$C$35, IF(N19=Reference!$A$34, Reference!$C$34, IF(N19=Reference!$A$33, Reference!$C$33, 0))))</f>
        <v>1</v>
      </c>
      <c r="AC19" s="62">
        <f>(Reference!$B$2*Y19 + Reference!$B$3*AA19 + Reference!$B$4*Z19 + Reference!$B$5*AB19)/4</f>
        <v>6.1875</v>
      </c>
      <c r="AD19" s="62">
        <f>IF(Q19=Reference!$C$41, Reference!$D$41, IF(Q19=Reference!$C$42, Reference!$D$42, IF(Q19=Reference!$C$43, Reference!$D$43, IF(Q19=Reference!$C$44, Reference!$D$44, 0))))</f>
        <v>7</v>
      </c>
      <c r="AE19" s="62">
        <f t="shared" si="5"/>
        <v>44.3125</v>
      </c>
    </row>
    <row r="20" spans="1:31" ht="54.45" customHeight="1">
      <c r="A20" s="50" t="s">
        <v>334</v>
      </c>
      <c r="B20" s="44" t="s">
        <v>67</v>
      </c>
      <c r="C20" s="44" t="s">
        <v>117</v>
      </c>
      <c r="D20" s="45" t="s">
        <v>335</v>
      </c>
      <c r="E20" s="45" t="s">
        <v>336</v>
      </c>
      <c r="F20" s="44" t="s">
        <v>98</v>
      </c>
      <c r="G20" s="44" t="s">
        <v>337</v>
      </c>
      <c r="H20" s="44" t="s">
        <v>41</v>
      </c>
      <c r="I20" s="44" t="s">
        <v>338</v>
      </c>
      <c r="J20" s="44" t="s">
        <v>44</v>
      </c>
      <c r="K20" s="44" t="s">
        <v>339</v>
      </c>
      <c r="L20" s="44" t="s">
        <v>41</v>
      </c>
      <c r="M20" s="44" t="s">
        <v>340</v>
      </c>
      <c r="N20" s="44" t="s">
        <v>47</v>
      </c>
      <c r="O20" s="44" t="s">
        <v>341</v>
      </c>
      <c r="P20" s="51" t="str">
        <f>IF(AC20&gt;=Reference!$H$2, Reference!$G$2, IF(AC20&gt;=Reference!$H$3, Reference!$G$3, IF(AC20&gt;=Reference!$H$4, Reference!$G$4, IF(AC20&gt;=Reference!$H$5, Reference!$G$5, ""))))</f>
        <v>Severe</v>
      </c>
      <c r="Q20" s="51" t="str">
        <f t="shared" si="4"/>
        <v>High</v>
      </c>
      <c r="R20" s="51" t="str">
        <f>IF(AE20&gt;=Reference!$D$2, Reference!$G$2, IF(AE20&gt;=Reference!$D$3, Reference!$E$3, IF(AE20&gt;=Reference!$D$4, Reference!$E$4, IF(AE20&gt;=Reference!$D$5, Reference!$E$5, ""))))</f>
        <v>Severe</v>
      </c>
      <c r="S20" s="52" t="s">
        <v>76</v>
      </c>
      <c r="T20" s="54" t="s">
        <v>342</v>
      </c>
      <c r="U20" s="44" t="s">
        <v>343</v>
      </c>
      <c r="V20" s="44" t="s">
        <v>344</v>
      </c>
      <c r="W20" s="44" t="s">
        <v>345</v>
      </c>
      <c r="Y20" s="62">
        <f>IF(H20=Reference!$A$12, Reference!$C$12, IF(H20=Reference!$A$11, Reference!$C$11, IF(H20=Reference!$A$10, Reference!$C$10, IF(H20=Reference!$A$9, Reference!$C$9, 0))))</f>
        <v>7</v>
      </c>
      <c r="Z20" s="62">
        <f>IF(J20=Reference!$A$20, Reference!$C$20, IF(J20=Reference!$A$19, Reference!$C$19, IF(J20=Reference!$A$18, Reference!$C$18, IF(J20=Reference!$A$17, Reference!$C$17, 0))))</f>
        <v>4</v>
      </c>
      <c r="AA20" s="62">
        <f>IF(L20=Reference!$A$28, Reference!$C$28, IF(L20=Reference!$A$27, Reference!$C$27, IF(L20=Reference!$A$26, Reference!$C$26, IF(L20=Reference!$A$25, Reference!$C$25, 0))))</f>
        <v>7</v>
      </c>
      <c r="AB20" s="62">
        <f>IF(N20=Reference!$A$36, Reference!$C$36, IF(N20=Reference!$A$35, Reference!$C$35, IF(N20=Reference!$A$34, Reference!$C$34, IF(N20=Reference!$A$33, Reference!$C$33, 0))))</f>
        <v>1</v>
      </c>
      <c r="AC20" s="62">
        <f>(Reference!$B$2*Y20 + Reference!$B$3*AA20 + Reference!$B$4*Z20 + Reference!$B$5*AB20)/4</f>
        <v>11.0625</v>
      </c>
      <c r="AD20" s="62">
        <f>IF(Q20=Reference!$C$41, Reference!$D$41, IF(Q20=Reference!$C$42, Reference!$D$42, IF(Q20=Reference!$C$43, Reference!$D$43, IF(Q20=Reference!$C$44, Reference!$D$44, 0))))</f>
        <v>10</v>
      </c>
      <c r="AE20" s="62">
        <f t="shared" si="5"/>
        <v>111.625</v>
      </c>
    </row>
    <row r="21" spans="1:31" ht="54.45" customHeight="1">
      <c r="A21" s="50" t="s">
        <v>346</v>
      </c>
      <c r="B21" s="44" t="s">
        <v>347</v>
      </c>
      <c r="C21" s="44" t="s">
        <v>348</v>
      </c>
      <c r="D21" s="45" t="s">
        <v>349</v>
      </c>
      <c r="E21" s="45" t="s">
        <v>350</v>
      </c>
      <c r="F21" s="44" t="s">
        <v>98</v>
      </c>
      <c r="G21" s="44" t="s">
        <v>351</v>
      </c>
      <c r="H21" s="44" t="s">
        <v>41</v>
      </c>
      <c r="I21" s="44" t="s">
        <v>352</v>
      </c>
      <c r="J21" s="44" t="s">
        <v>41</v>
      </c>
      <c r="K21" s="54" t="s">
        <v>353</v>
      </c>
      <c r="L21" s="44" t="s">
        <v>41</v>
      </c>
      <c r="M21" s="44" t="s">
        <v>354</v>
      </c>
      <c r="N21" s="44" t="s">
        <v>41</v>
      </c>
      <c r="O21" s="54" t="s">
        <v>355</v>
      </c>
      <c r="P21" s="51" t="str">
        <f>IF(AC21&gt;=Reference!$H$2, Reference!$G$2, IF(AC21&gt;=Reference!$H$3, Reference!$G$3, IF(AC21&gt;=Reference!$H$4, Reference!$G$4, IF(AC21&gt;=Reference!$H$5, Reference!$G$5, ""))))</f>
        <v>Severe</v>
      </c>
      <c r="Q21" s="51" t="str">
        <f t="shared" si="4"/>
        <v>High</v>
      </c>
      <c r="R21" s="51" t="str">
        <f>IF(AE21&gt;=Reference!$D$2, Reference!$G$2, IF(AE21&gt;=Reference!$D$3, Reference!$E$3, IF(AE21&gt;=Reference!$D$4, Reference!$E$4, IF(AE21&gt;=Reference!$D$5, Reference!$E$5, ""))))</f>
        <v>Severe</v>
      </c>
      <c r="S21" s="52" t="s">
        <v>76</v>
      </c>
      <c r="T21" s="53" t="s">
        <v>356</v>
      </c>
      <c r="U21" s="44" t="s">
        <v>357</v>
      </c>
      <c r="V21" s="44" t="s">
        <v>358</v>
      </c>
      <c r="W21" s="44" t="s">
        <v>359</v>
      </c>
      <c r="Y21" s="62">
        <f>IF(H21=Reference!$A$12, Reference!$C$12, IF(H21=Reference!$A$11, Reference!$C$11, IF(H21=Reference!$A$10, Reference!$C$10, IF(H21=Reference!$A$9, Reference!$C$9, 0))))</f>
        <v>7</v>
      </c>
      <c r="Z21" s="62">
        <f>IF(J21=Reference!$A$20, Reference!$C$20, IF(J21=Reference!$A$19, Reference!$C$19, IF(J21=Reference!$A$18, Reference!$C$18, IF(J21=Reference!$A$17, Reference!$C$17, 0))))</f>
        <v>7</v>
      </c>
      <c r="AA21" s="62">
        <f>IF(L21=Reference!$A$28, Reference!$C$28, IF(L21=Reference!$A$27, Reference!$C$27, IF(L21=Reference!$A$26, Reference!$C$26, IF(L21=Reference!$A$25, Reference!$C$25, 0))))</f>
        <v>7</v>
      </c>
      <c r="AB21" s="62">
        <f>IF(N21=Reference!$A$36, Reference!$C$36, IF(N21=Reference!$A$35, Reference!$C$35, IF(N21=Reference!$A$34, Reference!$C$34, IF(N21=Reference!$A$33, Reference!$C$33, 0))))</f>
        <v>7</v>
      </c>
      <c r="AC21" s="62">
        <f>(Reference!$B$2*Y21 + Reference!$B$3*AA21 + Reference!$B$4*Z21 + Reference!$B$5*AB21)/4</f>
        <v>11.8125</v>
      </c>
      <c r="AD21" s="62">
        <f>IF(Q21=Reference!$C$41, Reference!$D$41, IF(Q21=Reference!$C$42, Reference!$D$42, IF(Q21=Reference!$C$43, Reference!$D$43, IF(Q21=Reference!$C$44, Reference!$D$44, 0))))</f>
        <v>10</v>
      </c>
      <c r="AE21" s="62">
        <f t="shared" si="5"/>
        <v>119.125</v>
      </c>
    </row>
    <row r="22" spans="1:31" ht="54.45" customHeight="1">
      <c r="A22" s="50" t="s">
        <v>360</v>
      </c>
      <c r="B22" s="44" t="s">
        <v>71</v>
      </c>
      <c r="C22" s="44" t="s">
        <v>117</v>
      </c>
      <c r="D22" s="45" t="s">
        <v>361</v>
      </c>
      <c r="E22" s="45" t="s">
        <v>362</v>
      </c>
      <c r="F22" s="44" t="s">
        <v>102</v>
      </c>
      <c r="G22" s="44" t="s">
        <v>363</v>
      </c>
      <c r="H22" s="44" t="s">
        <v>41</v>
      </c>
      <c r="I22" s="44" t="s">
        <v>364</v>
      </c>
      <c r="J22" s="44" t="s">
        <v>41</v>
      </c>
      <c r="K22" s="54" t="s">
        <v>365</v>
      </c>
      <c r="L22" s="44" t="s">
        <v>41</v>
      </c>
      <c r="M22" s="44" t="s">
        <v>366</v>
      </c>
      <c r="N22" s="44" t="s">
        <v>47</v>
      </c>
      <c r="O22" s="44" t="s">
        <v>367</v>
      </c>
      <c r="P22" s="51" t="str">
        <f>IF(AC22&gt;=Reference!$H$2, Reference!$G$2, IF(AC22&gt;=Reference!$H$3, Reference!$G$3, IF(AC22&gt;=Reference!$H$4, Reference!$G$4, IF(AC22&gt;=Reference!$H$5, Reference!$G$5, ""))))</f>
        <v>Severe</v>
      </c>
      <c r="Q22" s="51" t="str">
        <f t="shared" si="4"/>
        <v>Low</v>
      </c>
      <c r="R22" s="51" t="str">
        <f>IF(AE22&gt;=Reference!$D$2, Reference!$G$2, IF(AE22&gt;=Reference!$D$3, Reference!$E$3, IF(AE22&gt;=Reference!$D$4, Reference!$E$4, IF(AE22&gt;=Reference!$D$5, Reference!$E$5, ""))))</f>
        <v>Medium</v>
      </c>
      <c r="S22" s="52" t="s">
        <v>76</v>
      </c>
      <c r="T22" s="53" t="s">
        <v>368</v>
      </c>
      <c r="U22" s="44" t="s">
        <v>369</v>
      </c>
      <c r="V22" s="44" t="s">
        <v>370</v>
      </c>
      <c r="W22" s="44" t="s">
        <v>371</v>
      </c>
      <c r="Y22" s="62">
        <f>IF(H22=Reference!$A$12, Reference!$C$12, IF(H22=Reference!$A$11, Reference!$C$11, IF(H22=Reference!$A$10, Reference!$C$10, IF(H22=Reference!$A$9, Reference!$C$9, 0))))</f>
        <v>7</v>
      </c>
      <c r="Z22" s="62">
        <f>IF(J22=Reference!$A$20, Reference!$C$20, IF(J22=Reference!$A$19, Reference!$C$19, IF(J22=Reference!$A$18, Reference!$C$18, IF(J22=Reference!$A$17, Reference!$C$17, 0))))</f>
        <v>7</v>
      </c>
      <c r="AA22" s="62">
        <f>IF(L22=Reference!$A$28, Reference!$C$28, IF(L22=Reference!$A$27, Reference!$C$27, IF(L22=Reference!$A$26, Reference!$C$26, IF(L22=Reference!$A$25, Reference!$C$25, 0))))</f>
        <v>7</v>
      </c>
      <c r="AB22" s="62">
        <f>IF(N22=Reference!$A$36, Reference!$C$36, IF(N22=Reference!$A$35, Reference!$C$35, IF(N22=Reference!$A$34, Reference!$C$34, IF(N22=Reference!$A$33, Reference!$C$33, 0))))</f>
        <v>1</v>
      </c>
      <c r="AC22" s="62">
        <f>(Reference!$B$2*Y22 + Reference!$B$3*AA22 + Reference!$B$4*Z22 + Reference!$B$5*AB22)/4</f>
        <v>11.4375</v>
      </c>
      <c r="AD22" s="62">
        <f>IF(Q22=Reference!$C$41, Reference!$D$41, IF(Q22=Reference!$C$42, Reference!$D$42, IF(Q22=Reference!$C$43, Reference!$D$43, IF(Q22=Reference!$C$44, Reference!$D$44, 0))))</f>
        <v>4</v>
      </c>
      <c r="AE22" s="62">
        <f t="shared" si="5"/>
        <v>46.75</v>
      </c>
    </row>
    <row r="23" spans="1:31" ht="54.45" customHeight="1">
      <c r="A23" s="50" t="s">
        <v>372</v>
      </c>
      <c r="B23" s="44" t="s">
        <v>79</v>
      </c>
      <c r="C23" s="44" t="s">
        <v>226</v>
      </c>
      <c r="D23" s="45" t="s">
        <v>373</v>
      </c>
      <c r="E23" s="45" t="s">
        <v>374</v>
      </c>
      <c r="F23" s="44" t="s">
        <v>102</v>
      </c>
      <c r="G23" s="44" t="s">
        <v>375</v>
      </c>
      <c r="H23" s="44" t="s">
        <v>44</v>
      </c>
      <c r="I23" s="44" t="s">
        <v>376</v>
      </c>
      <c r="J23" s="44" t="s">
        <v>44</v>
      </c>
      <c r="K23" s="54" t="s">
        <v>377</v>
      </c>
      <c r="L23" s="44" t="s">
        <v>41</v>
      </c>
      <c r="M23" s="44" t="s">
        <v>378</v>
      </c>
      <c r="N23" s="44" t="s">
        <v>47</v>
      </c>
      <c r="O23" s="44" t="s">
        <v>233</v>
      </c>
      <c r="P23" s="51" t="str">
        <f>IF(AC23&gt;=Reference!$H$2, Reference!$G$2, IF(AC23&gt;=Reference!$H$3, Reference!$G$3, IF(AC23&gt;=Reference!$H$4, Reference!$G$4, IF(AC23&gt;=Reference!$H$5, Reference!$G$5, ""))))</f>
        <v>Major</v>
      </c>
      <c r="Q23" s="51" t="str">
        <f t="shared" si="4"/>
        <v>Low</v>
      </c>
      <c r="R23" s="51" t="str">
        <f>IF(AE23&gt;=Reference!$D$2, Reference!$G$2, IF(AE23&gt;=Reference!$D$3, Reference!$E$3, IF(AE23&gt;=Reference!$D$4, Reference!$E$4, IF(AE23&gt;=Reference!$D$5, Reference!$E$5, ""))))</f>
        <v>Medium</v>
      </c>
      <c r="S23" s="52" t="s">
        <v>76</v>
      </c>
      <c r="T23" s="53" t="s">
        <v>379</v>
      </c>
      <c r="U23" s="44" t="s">
        <v>380</v>
      </c>
      <c r="V23" s="44" t="s">
        <v>381</v>
      </c>
      <c r="W23" s="44" t="s">
        <v>382</v>
      </c>
      <c r="Y23" s="62">
        <f>IF(H23=Reference!$A$12, Reference!$C$12, IF(H23=Reference!$A$11, Reference!$C$11, IF(H23=Reference!$A$10, Reference!$C$10, IF(H23=Reference!$A$9, Reference!$C$9, 0))))</f>
        <v>4</v>
      </c>
      <c r="Z23" s="62">
        <f>IF(J23=Reference!$A$20, Reference!$C$20, IF(J23=Reference!$A$19, Reference!$C$19, IF(J23=Reference!$A$18, Reference!$C$18, IF(J23=Reference!$A$17, Reference!$C$17, 0))))</f>
        <v>4</v>
      </c>
      <c r="AA23" s="62">
        <f>IF(L23=Reference!$A$28, Reference!$C$28, IF(L23=Reference!$A$27, Reference!$C$27, IF(L23=Reference!$A$26, Reference!$C$26, IF(L23=Reference!$A$25, Reference!$C$25, 0))))</f>
        <v>7</v>
      </c>
      <c r="AB23" s="62">
        <f>IF(N23=Reference!$A$36, Reference!$C$36, IF(N23=Reference!$A$35, Reference!$C$35, IF(N23=Reference!$A$34, Reference!$C$34, IF(N23=Reference!$A$33, Reference!$C$33, 0))))</f>
        <v>1</v>
      </c>
      <c r="AC23" s="62">
        <f>(Reference!$B$2*Y23 + Reference!$B$3*AA23 + Reference!$B$4*Z23 + Reference!$B$5*AB23)/4</f>
        <v>7.3125</v>
      </c>
      <c r="AD23" s="62">
        <f>IF(Q23=Reference!$C$41, Reference!$D$41, IF(Q23=Reference!$C$42, Reference!$D$42, IF(Q23=Reference!$C$43, Reference!$D$43, IF(Q23=Reference!$C$44, Reference!$D$44, 0))))</f>
        <v>4</v>
      </c>
      <c r="AE23" s="62">
        <f t="shared" si="5"/>
        <v>30.25</v>
      </c>
    </row>
    <row r="24" spans="1:31" ht="54.45" customHeight="1">
      <c r="A24" s="50" t="s">
        <v>383</v>
      </c>
      <c r="B24" s="44" t="s">
        <v>299</v>
      </c>
      <c r="C24" s="44" t="s">
        <v>300</v>
      </c>
      <c r="D24" s="45" t="s">
        <v>384</v>
      </c>
      <c r="E24" s="45" t="s">
        <v>385</v>
      </c>
      <c r="F24" s="44" t="s">
        <v>98</v>
      </c>
      <c r="G24" s="44" t="s">
        <v>386</v>
      </c>
      <c r="H24" s="44" t="s">
        <v>47</v>
      </c>
      <c r="I24" s="44" t="s">
        <v>387</v>
      </c>
      <c r="J24" s="44" t="s">
        <v>41</v>
      </c>
      <c r="K24" s="44" t="s">
        <v>388</v>
      </c>
      <c r="L24" s="44" t="s">
        <v>44</v>
      </c>
      <c r="M24" s="44" t="s">
        <v>389</v>
      </c>
      <c r="N24" s="44" t="s">
        <v>41</v>
      </c>
      <c r="O24" s="44" t="s">
        <v>390</v>
      </c>
      <c r="P24" s="51" t="str">
        <f>IF(AC24&gt;=Reference!$H$2, Reference!$G$2, IF(AC24&gt;=Reference!$H$3, Reference!$G$3, IF(AC24&gt;=Reference!$H$4, Reference!$G$4, IF(AC24&gt;=Reference!$H$5, Reference!$G$5, ""))))</f>
        <v>Moderate</v>
      </c>
      <c r="Q24" s="51" t="str">
        <f t="shared" si="4"/>
        <v>High</v>
      </c>
      <c r="R24" s="51" t="str">
        <f>IF(AE24&gt;=Reference!$D$2, Reference!$G$2, IF(AE24&gt;=Reference!$D$3, Reference!$E$3, IF(AE24&gt;=Reference!$D$4, Reference!$E$4, IF(AE24&gt;=Reference!$D$5, Reference!$E$5, ""))))</f>
        <v>Medium</v>
      </c>
      <c r="S24" s="52" t="s">
        <v>76</v>
      </c>
      <c r="T24" s="53" t="s">
        <v>391</v>
      </c>
      <c r="U24" s="44" t="s">
        <v>392</v>
      </c>
      <c r="V24" s="44" t="s">
        <v>393</v>
      </c>
      <c r="W24" s="44" t="s">
        <v>394</v>
      </c>
      <c r="Y24" s="62">
        <f>IF(H24=Reference!$A$12, Reference!$C$12, IF(H24=Reference!$A$11, Reference!$C$11, IF(H24=Reference!$A$10, Reference!$C$10, IF(H24=Reference!$A$9, Reference!$C$9, 0))))</f>
        <v>1</v>
      </c>
      <c r="Z24" s="62">
        <f>IF(J24=Reference!$A$20, Reference!$C$20, IF(J24=Reference!$A$19, Reference!$C$19, IF(J24=Reference!$A$18, Reference!$C$18, IF(J24=Reference!$A$17, Reference!$C$17, 0))))</f>
        <v>7</v>
      </c>
      <c r="AA24" s="62">
        <f>IF(L24=Reference!$A$28, Reference!$C$28, IF(L24=Reference!$A$27, Reference!$C$27, IF(L24=Reference!$A$26, Reference!$C$26, IF(L24=Reference!$A$25, Reference!$C$25, 0))))</f>
        <v>4</v>
      </c>
      <c r="AB24" s="62">
        <f>IF(N24=Reference!$A$36, Reference!$C$36, IF(N24=Reference!$A$35, Reference!$C$35, IF(N24=Reference!$A$34, Reference!$C$34, IF(N24=Reference!$A$33, Reference!$C$33, 0))))</f>
        <v>7</v>
      </c>
      <c r="AC24" s="62">
        <f>(Reference!$B$2*Y24 + Reference!$B$3*AA24 + Reference!$B$4*Z24 + Reference!$B$5*AB24)/4</f>
        <v>3.5625</v>
      </c>
      <c r="AD24" s="62">
        <f>IF(Q24=Reference!$C$41, Reference!$D$41, IF(Q24=Reference!$C$42, Reference!$D$42, IF(Q24=Reference!$C$43, Reference!$D$43, IF(Q24=Reference!$C$44, Reference!$D$44, 0))))</f>
        <v>10</v>
      </c>
      <c r="AE24" s="62">
        <f t="shared" si="5"/>
        <v>36.625</v>
      </c>
    </row>
    <row r="25" spans="1:31" ht="54.45" customHeight="1">
      <c r="A25" s="50" t="s">
        <v>395</v>
      </c>
      <c r="B25" s="44" t="s">
        <v>79</v>
      </c>
      <c r="C25" s="44" t="s">
        <v>226</v>
      </c>
      <c r="D25" s="45" t="s">
        <v>396</v>
      </c>
      <c r="E25" s="45" t="s">
        <v>397</v>
      </c>
      <c r="F25" s="44" t="s">
        <v>98</v>
      </c>
      <c r="G25" s="44" t="s">
        <v>398</v>
      </c>
      <c r="H25" s="44" t="s">
        <v>41</v>
      </c>
      <c r="I25" s="44" t="s">
        <v>399</v>
      </c>
      <c r="J25" s="44" t="s">
        <v>44</v>
      </c>
      <c r="K25" s="44" t="s">
        <v>400</v>
      </c>
      <c r="L25" s="44" t="s">
        <v>41</v>
      </c>
      <c r="M25" s="44" t="s">
        <v>401</v>
      </c>
      <c r="N25" s="44" t="s">
        <v>47</v>
      </c>
      <c r="O25" s="44" t="s">
        <v>233</v>
      </c>
      <c r="P25" s="51" t="str">
        <f>IF(AC25&gt;=Reference!$H$2, Reference!$G$2, IF(AC25&gt;=Reference!$H$3, Reference!$G$3, IF(AC25&gt;=Reference!$H$4, Reference!$G$4, IF(AC25&gt;=Reference!$H$5, Reference!$G$5, ""))))</f>
        <v>Severe</v>
      </c>
      <c r="Q25" s="51" t="str">
        <f t="shared" si="4"/>
        <v>High</v>
      </c>
      <c r="R25" s="51" t="str">
        <f>IF(AE25&gt;=Reference!$D$2, Reference!$G$2, IF(AE25&gt;=Reference!$D$3, Reference!$E$3, IF(AE25&gt;=Reference!$D$4, Reference!$E$4, IF(AE25&gt;=Reference!$D$5, Reference!$E$5, ""))))</f>
        <v>Severe</v>
      </c>
      <c r="S25" s="52" t="s">
        <v>76</v>
      </c>
      <c r="T25" s="53" t="s">
        <v>402</v>
      </c>
      <c r="U25" s="44" t="s">
        <v>403</v>
      </c>
      <c r="V25" s="44" t="s">
        <v>404</v>
      </c>
      <c r="W25" s="44" t="s">
        <v>405</v>
      </c>
      <c r="Y25" s="62">
        <f>IF(H25=Reference!$A$12, Reference!$C$12, IF(H25=Reference!$A$11, Reference!$C$11, IF(H25=Reference!$A$10, Reference!$C$10, IF(H25=Reference!$A$9, Reference!$C$9, 0))))</f>
        <v>7</v>
      </c>
      <c r="Z25" s="62">
        <f>IF(J25=Reference!$A$20, Reference!$C$20, IF(J25=Reference!$A$19, Reference!$C$19, IF(J25=Reference!$A$18, Reference!$C$18, IF(J25=Reference!$A$17, Reference!$C$17, 0))))</f>
        <v>4</v>
      </c>
      <c r="AA25" s="62">
        <f>IF(L25=Reference!$A$28, Reference!$C$28, IF(L25=Reference!$A$27, Reference!$C$27, IF(L25=Reference!$A$26, Reference!$C$26, IF(L25=Reference!$A$25, Reference!$C$25, 0))))</f>
        <v>7</v>
      </c>
      <c r="AB25" s="62">
        <f>IF(N25=Reference!$A$36, Reference!$C$36, IF(N25=Reference!$A$35, Reference!$C$35, IF(N25=Reference!$A$34, Reference!$C$34, IF(N25=Reference!$A$33, Reference!$C$33, 0))))</f>
        <v>1</v>
      </c>
      <c r="AC25" s="62">
        <f>(Reference!$B$2*Y25 + Reference!$B$3*AA25 + Reference!$B$4*Z25 + Reference!$B$5*AB25)/4</f>
        <v>11.0625</v>
      </c>
      <c r="AD25" s="62">
        <f>IF(Q25=Reference!$C$41, Reference!$D$41, IF(Q25=Reference!$C$42, Reference!$D$42, IF(Q25=Reference!$C$43, Reference!$D$43, IF(Q25=Reference!$C$44, Reference!$D$44, 0))))</f>
        <v>10</v>
      </c>
      <c r="AE25" s="62">
        <f t="shared" si="5"/>
        <v>111.625</v>
      </c>
    </row>
    <row r="26" spans="1:31" ht="54.45" customHeight="1">
      <c r="A26" s="50" t="s">
        <v>406</v>
      </c>
      <c r="B26" s="44" t="s">
        <v>71</v>
      </c>
      <c r="C26" s="44" t="s">
        <v>117</v>
      </c>
      <c r="D26" s="45" t="s">
        <v>407</v>
      </c>
      <c r="E26" s="45" t="s">
        <v>362</v>
      </c>
      <c r="F26" s="44" t="s">
        <v>98</v>
      </c>
      <c r="G26" s="44" t="s">
        <v>408</v>
      </c>
      <c r="H26" s="44" t="s">
        <v>41</v>
      </c>
      <c r="I26" s="44" t="s">
        <v>409</v>
      </c>
      <c r="J26" s="44" t="s">
        <v>41</v>
      </c>
      <c r="K26" s="44" t="s">
        <v>410</v>
      </c>
      <c r="L26" s="44" t="s">
        <v>41</v>
      </c>
      <c r="M26" s="44" t="s">
        <v>411</v>
      </c>
      <c r="N26" s="44" t="s">
        <v>47</v>
      </c>
      <c r="O26" s="44" t="s">
        <v>412</v>
      </c>
      <c r="P26" s="51" t="str">
        <f>IF(AC26&gt;=Reference!$H$2, Reference!$G$2, IF(AC26&gt;=Reference!$H$3, Reference!$G$3, IF(AC26&gt;=Reference!$H$4, Reference!$G$4, IF(AC26&gt;=Reference!$H$5, Reference!$G$5, ""))))</f>
        <v>Severe</v>
      </c>
      <c r="Q26" s="51" t="str">
        <f t="shared" si="4"/>
        <v>High</v>
      </c>
      <c r="R26" s="51" t="str">
        <f>IF(AE26&gt;=Reference!$D$2, Reference!$G$2, IF(AE26&gt;=Reference!$D$3, Reference!$E$3, IF(AE26&gt;=Reference!$D$4, Reference!$E$4, IF(AE26&gt;=Reference!$D$5, Reference!$E$5, ""))))</f>
        <v>Severe</v>
      </c>
      <c r="S26" s="52" t="s">
        <v>76</v>
      </c>
      <c r="T26" s="53" t="s">
        <v>413</v>
      </c>
      <c r="U26" s="44" t="s">
        <v>414</v>
      </c>
      <c r="V26" s="44" t="s">
        <v>415</v>
      </c>
      <c r="W26" s="44" t="s">
        <v>416</v>
      </c>
      <c r="Y26" s="62">
        <f>IF(H26=Reference!$A$12, Reference!$C$12, IF(H26=Reference!$A$11, Reference!$C$11, IF(H26=Reference!$A$10, Reference!$C$10, IF(H26=Reference!$A$9, Reference!$C$9, 0))))</f>
        <v>7</v>
      </c>
      <c r="Z26" s="62">
        <f>IF(J26=Reference!$A$20, Reference!$C$20, IF(J26=Reference!$A$19, Reference!$C$19, IF(J26=Reference!$A$18, Reference!$C$18, IF(J26=Reference!$A$17, Reference!$C$17, 0))))</f>
        <v>7</v>
      </c>
      <c r="AA26" s="62">
        <f>IF(L26=Reference!$A$28, Reference!$C$28, IF(L26=Reference!$A$27, Reference!$C$27, IF(L26=Reference!$A$26, Reference!$C$26, IF(L26=Reference!$A$25, Reference!$C$25, 0))))</f>
        <v>7</v>
      </c>
      <c r="AB26" s="62">
        <f>IF(N26=Reference!$A$36, Reference!$C$36, IF(N26=Reference!$A$35, Reference!$C$35, IF(N26=Reference!$A$34, Reference!$C$34, IF(N26=Reference!$A$33, Reference!$C$33, 0))))</f>
        <v>1</v>
      </c>
      <c r="AC26" s="62">
        <f>(Reference!$B$2*Y26 + Reference!$B$3*AA26 + Reference!$B$4*Z26 + Reference!$B$5*AB26)/4</f>
        <v>11.4375</v>
      </c>
      <c r="AD26" s="62">
        <f>IF(Q26=Reference!$C$41, Reference!$D$41, IF(Q26=Reference!$C$42, Reference!$D$42, IF(Q26=Reference!$C$43, Reference!$D$43, IF(Q26=Reference!$C$44, Reference!$D$44, 0))))</f>
        <v>10</v>
      </c>
      <c r="AE26" s="62">
        <f t="shared" si="5"/>
        <v>115.375</v>
      </c>
    </row>
    <row r="27" spans="1:31" ht="54.45" customHeight="1">
      <c r="A27" s="50" t="s">
        <v>417</v>
      </c>
      <c r="B27" s="44" t="s">
        <v>79</v>
      </c>
      <c r="C27" s="44" t="s">
        <v>226</v>
      </c>
      <c r="D27" s="45" t="s">
        <v>418</v>
      </c>
      <c r="E27" s="45" t="s">
        <v>419</v>
      </c>
      <c r="F27" s="44" t="s">
        <v>100</v>
      </c>
      <c r="G27" s="44" t="s">
        <v>420</v>
      </c>
      <c r="H27" s="44" t="s">
        <v>44</v>
      </c>
      <c r="I27" s="44" t="s">
        <v>421</v>
      </c>
      <c r="J27" s="44" t="s">
        <v>47</v>
      </c>
      <c r="K27" s="44" t="s">
        <v>422</v>
      </c>
      <c r="L27" s="44" t="s">
        <v>44</v>
      </c>
      <c r="M27" s="44" t="s">
        <v>423</v>
      </c>
      <c r="N27" s="44" t="s">
        <v>47</v>
      </c>
      <c r="O27" s="44" t="s">
        <v>424</v>
      </c>
      <c r="P27" s="51" t="str">
        <f>IF(AC27&gt;=Reference!$H$2, Reference!$G$2, IF(AC27&gt;=Reference!$H$3, Reference!$G$3, IF(AC27&gt;=Reference!$H$4, Reference!$G$4, IF(AC27&gt;=Reference!$H$5, Reference!$G$5, ""))))</f>
        <v>Major</v>
      </c>
      <c r="Q27" s="51" t="str">
        <f t="shared" si="4"/>
        <v>Medium</v>
      </c>
      <c r="R27" s="51" t="str">
        <f>IF(AE27&gt;=Reference!$D$2, Reference!$G$2, IF(AE27&gt;=Reference!$D$3, Reference!$E$3, IF(AE27&gt;=Reference!$D$4, Reference!$E$4, IF(AE27&gt;=Reference!$D$5, Reference!$E$5, ""))))</f>
        <v>Medium</v>
      </c>
      <c r="S27" s="52" t="s">
        <v>76</v>
      </c>
      <c r="T27" s="53" t="s">
        <v>425</v>
      </c>
      <c r="U27" s="44" t="s">
        <v>426</v>
      </c>
      <c r="V27" s="44" t="s">
        <v>427</v>
      </c>
      <c r="W27" s="44" t="s">
        <v>428</v>
      </c>
      <c r="Y27" s="62">
        <f>IF(H27=Reference!$A$12, Reference!$C$12, IF(H27=Reference!$A$11, Reference!$C$11, IF(H27=Reference!$A$10, Reference!$C$10, IF(H27=Reference!$A$9, Reference!$C$9, 0))))</f>
        <v>4</v>
      </c>
      <c r="Z27" s="62">
        <f>IF(J27=Reference!$A$20, Reference!$C$20, IF(J27=Reference!$A$19, Reference!$C$19, IF(J27=Reference!$A$18, Reference!$C$18, IF(J27=Reference!$A$17, Reference!$C$17, 0))))</f>
        <v>1</v>
      </c>
      <c r="AA27" s="62">
        <f>IF(L27=Reference!$A$28, Reference!$C$28, IF(L27=Reference!$A$27, Reference!$C$27, IF(L27=Reference!$A$26, Reference!$C$26, IF(L27=Reference!$A$25, Reference!$C$25, 0))))</f>
        <v>4</v>
      </c>
      <c r="AB27" s="62">
        <f>IF(N27=Reference!$A$36, Reference!$C$36, IF(N27=Reference!$A$35, Reference!$C$35, IF(N27=Reference!$A$34, Reference!$C$34, IF(N27=Reference!$A$33, Reference!$C$33, 0))))</f>
        <v>1</v>
      </c>
      <c r="AC27" s="62">
        <f>(Reference!$B$2*Y27 + Reference!$B$3*AA27 + Reference!$B$4*Z27 + Reference!$B$5*AB27)/4</f>
        <v>6.1875</v>
      </c>
      <c r="AD27" s="62">
        <f>IF(Q27=Reference!$C$41, Reference!$D$41, IF(Q27=Reference!$C$42, Reference!$D$42, IF(Q27=Reference!$C$43, Reference!$D$43, IF(Q27=Reference!$C$44, Reference!$D$44, 0))))</f>
        <v>7</v>
      </c>
      <c r="AE27" s="62">
        <f t="shared" si="5"/>
        <v>44.3125</v>
      </c>
    </row>
    <row r="28" spans="1:31" ht="54.45" customHeight="1">
      <c r="A28" s="50" t="s">
        <v>429</v>
      </c>
      <c r="B28" s="44" t="s">
        <v>67</v>
      </c>
      <c r="C28" s="44" t="s">
        <v>117</v>
      </c>
      <c r="D28" s="45" t="s">
        <v>430</v>
      </c>
      <c r="E28" s="45" t="s">
        <v>431</v>
      </c>
      <c r="F28" s="44" t="s">
        <v>100</v>
      </c>
      <c r="G28" s="44" t="s">
        <v>432</v>
      </c>
      <c r="H28" s="44" t="s">
        <v>41</v>
      </c>
      <c r="I28" s="44" t="s">
        <v>433</v>
      </c>
      <c r="J28" s="44" t="s">
        <v>44</v>
      </c>
      <c r="K28" s="44" t="s">
        <v>434</v>
      </c>
      <c r="L28" s="44" t="s">
        <v>41</v>
      </c>
      <c r="M28" s="44" t="s">
        <v>435</v>
      </c>
      <c r="N28" s="44" t="s">
        <v>47</v>
      </c>
      <c r="O28" s="44" t="s">
        <v>436</v>
      </c>
      <c r="P28" s="51" t="str">
        <f>IF(AC28&gt;=Reference!$H$2, Reference!$G$2, IF(AC28&gt;=Reference!$H$3, Reference!$G$3, IF(AC28&gt;=Reference!$H$4, Reference!$G$4, IF(AC28&gt;=Reference!$H$5, Reference!$G$5, ""))))</f>
        <v>Severe</v>
      </c>
      <c r="Q28" s="51" t="str">
        <f t="shared" si="4"/>
        <v>Medium</v>
      </c>
      <c r="R28" s="51" t="str">
        <f>IF(AE28&gt;=Reference!$D$2, Reference!$G$2, IF(AE28&gt;=Reference!$D$3, Reference!$E$3, IF(AE28&gt;=Reference!$D$4, Reference!$E$4, IF(AE28&gt;=Reference!$D$5, Reference!$E$5, ""))))</f>
        <v>High</v>
      </c>
      <c r="S28" s="52" t="s">
        <v>76</v>
      </c>
      <c r="T28" s="53" t="s">
        <v>437</v>
      </c>
      <c r="U28" s="44" t="s">
        <v>438</v>
      </c>
      <c r="V28" s="44" t="s">
        <v>439</v>
      </c>
      <c r="W28" s="44" t="s">
        <v>440</v>
      </c>
      <c r="Y28" s="62">
        <f>IF(H28=Reference!$A$12, Reference!$C$12, IF(H28=Reference!$A$11, Reference!$C$11, IF(H28=Reference!$A$10, Reference!$C$10, IF(H28=Reference!$A$9, Reference!$C$9, 0))))</f>
        <v>7</v>
      </c>
      <c r="Z28" s="62">
        <f>IF(J28=Reference!$A$20, Reference!$C$20, IF(J28=Reference!$A$19, Reference!$C$19, IF(J28=Reference!$A$18, Reference!$C$18, IF(J28=Reference!$A$17, Reference!$C$17, 0))))</f>
        <v>4</v>
      </c>
      <c r="AA28" s="62">
        <f>IF(L28=Reference!$A$28, Reference!$C$28, IF(L28=Reference!$A$27, Reference!$C$27, IF(L28=Reference!$A$26, Reference!$C$26, IF(L28=Reference!$A$25, Reference!$C$25, 0))))</f>
        <v>7</v>
      </c>
      <c r="AB28" s="62">
        <f>IF(N28=Reference!$A$36, Reference!$C$36, IF(N28=Reference!$A$35, Reference!$C$35, IF(N28=Reference!$A$34, Reference!$C$34, IF(N28=Reference!$A$33, Reference!$C$33, 0))))</f>
        <v>1</v>
      </c>
      <c r="AC28" s="62">
        <f>(Reference!$B$2*Y28 + Reference!$B$3*AA28 + Reference!$B$4*Z28 + Reference!$B$5*AB28)/4</f>
        <v>11.0625</v>
      </c>
      <c r="AD28" s="62">
        <f>IF(Q28=Reference!$C$41, Reference!$D$41, IF(Q28=Reference!$C$42, Reference!$D$42, IF(Q28=Reference!$C$43, Reference!$D$43, IF(Q28=Reference!$C$44, Reference!$D$44, 0))))</f>
        <v>7</v>
      </c>
      <c r="AE28" s="62">
        <f t="shared" si="5"/>
        <v>78.4375</v>
      </c>
    </row>
    <row r="29" spans="1:31" ht="54.45" customHeight="1">
      <c r="A29" s="50" t="s">
        <v>441</v>
      </c>
      <c r="B29" s="44" t="s">
        <v>299</v>
      </c>
      <c r="C29" s="44" t="s">
        <v>300</v>
      </c>
      <c r="D29" s="45" t="s">
        <v>442</v>
      </c>
      <c r="E29" s="45" t="s">
        <v>443</v>
      </c>
      <c r="F29" s="44" t="s">
        <v>100</v>
      </c>
      <c r="G29" s="44" t="s">
        <v>444</v>
      </c>
      <c r="H29" s="44" t="s">
        <v>47</v>
      </c>
      <c r="I29" s="44" t="s">
        <v>445</v>
      </c>
      <c r="J29" s="44" t="s">
        <v>44</v>
      </c>
      <c r="K29" s="54" t="s">
        <v>446</v>
      </c>
      <c r="L29" s="44" t="s">
        <v>44</v>
      </c>
      <c r="M29" s="44" t="s">
        <v>447</v>
      </c>
      <c r="N29" s="44" t="s">
        <v>41</v>
      </c>
      <c r="O29" s="44" t="s">
        <v>448</v>
      </c>
      <c r="P29" s="51" t="str">
        <f>IF(AC29&gt;=Reference!$H$2, Reference!$G$2, IF(AC29&gt;=Reference!$H$3, Reference!$G$3, IF(AC29&gt;=Reference!$H$4, Reference!$G$4, IF(AC29&gt;=Reference!$H$5, Reference!$G$5, ""))))</f>
        <v>Moderate</v>
      </c>
      <c r="Q29" s="51" t="str">
        <f t="shared" si="4"/>
        <v>Medium</v>
      </c>
      <c r="R29" s="51" t="str">
        <f>IF(AE29&gt;=Reference!$D$2, Reference!$G$2, IF(AE29&gt;=Reference!$D$3, Reference!$E$3, IF(AE29&gt;=Reference!$D$4, Reference!$E$4, IF(AE29&gt;=Reference!$D$5, Reference!$E$5, ""))))</f>
        <v>Medium</v>
      </c>
      <c r="S29" s="52" t="s">
        <v>76</v>
      </c>
      <c r="T29" s="53" t="s">
        <v>449</v>
      </c>
      <c r="U29" s="44" t="s">
        <v>450</v>
      </c>
      <c r="V29" s="44" t="s">
        <v>451</v>
      </c>
      <c r="W29" s="44" t="s">
        <v>452</v>
      </c>
      <c r="Y29" s="62">
        <f>IF(H29=Reference!$A$12, Reference!$C$12, IF(H29=Reference!$A$11, Reference!$C$11, IF(H29=Reference!$A$10, Reference!$C$10, IF(H29=Reference!$A$9, Reference!$C$9, 0))))</f>
        <v>1</v>
      </c>
      <c r="Z29" s="62">
        <f>IF(J29=Reference!$A$20, Reference!$C$20, IF(J29=Reference!$A$19, Reference!$C$19, IF(J29=Reference!$A$18, Reference!$C$18, IF(J29=Reference!$A$17, Reference!$C$17, 0))))</f>
        <v>4</v>
      </c>
      <c r="AA29" s="62">
        <f>IF(L29=Reference!$A$28, Reference!$C$28, IF(L29=Reference!$A$27, Reference!$C$27, IF(L29=Reference!$A$26, Reference!$C$26, IF(L29=Reference!$A$25, Reference!$C$25, 0))))</f>
        <v>4</v>
      </c>
      <c r="AB29" s="62">
        <f>IF(N29=Reference!$A$36, Reference!$C$36, IF(N29=Reference!$A$35, Reference!$C$35, IF(N29=Reference!$A$34, Reference!$C$34, IF(N29=Reference!$A$33, Reference!$C$33, 0))))</f>
        <v>7</v>
      </c>
      <c r="AC29" s="62">
        <f>(Reference!$B$2*Y29 + Reference!$B$3*AA29 + Reference!$B$4*Z29 + Reference!$B$5*AB29)/4</f>
        <v>3.1875</v>
      </c>
      <c r="AD29" s="62">
        <f>IF(Q29=Reference!$C$41, Reference!$D$41, IF(Q29=Reference!$C$42, Reference!$D$42, IF(Q29=Reference!$C$43, Reference!$D$43, IF(Q29=Reference!$C$44, Reference!$D$44, 0))))</f>
        <v>7</v>
      </c>
      <c r="AE29" s="62">
        <f t="shared" si="5"/>
        <v>23.3125</v>
      </c>
    </row>
    <row r="30" spans="1:31" ht="54.45" customHeight="1">
      <c r="A30" s="50" t="s">
        <v>453</v>
      </c>
      <c r="B30" s="44" t="s">
        <v>71</v>
      </c>
      <c r="C30" s="44" t="s">
        <v>117</v>
      </c>
      <c r="D30" s="45" t="s">
        <v>454</v>
      </c>
      <c r="E30" s="45" t="s">
        <v>455</v>
      </c>
      <c r="F30" s="44" t="s">
        <v>100</v>
      </c>
      <c r="G30" s="44" t="s">
        <v>456</v>
      </c>
      <c r="H30" s="44" t="s">
        <v>41</v>
      </c>
      <c r="I30" s="44" t="s">
        <v>457</v>
      </c>
      <c r="J30" s="44" t="s">
        <v>41</v>
      </c>
      <c r="K30" s="44" t="s">
        <v>458</v>
      </c>
      <c r="L30" s="44" t="s">
        <v>41</v>
      </c>
      <c r="M30" s="44" t="s">
        <v>459</v>
      </c>
      <c r="N30" s="44" t="s">
        <v>47</v>
      </c>
      <c r="O30" s="44" t="s">
        <v>460</v>
      </c>
      <c r="P30" s="51" t="str">
        <f>IF(AC30&gt;=Reference!$H$2, Reference!$G$2, IF(AC30&gt;=Reference!$H$3, Reference!$G$3, IF(AC30&gt;=Reference!$H$4, Reference!$G$4, IF(AC30&gt;=Reference!$H$5, Reference!$G$5, ""))))</f>
        <v>Severe</v>
      </c>
      <c r="Q30" s="51" t="str">
        <f t="shared" si="4"/>
        <v>Medium</v>
      </c>
      <c r="R30" s="51" t="str">
        <f>IF(AE30&gt;=Reference!$D$2, Reference!$G$2, IF(AE30&gt;=Reference!$D$3, Reference!$E$3, IF(AE30&gt;=Reference!$D$4, Reference!$E$4, IF(AE30&gt;=Reference!$D$5, Reference!$E$5, ""))))</f>
        <v>High</v>
      </c>
      <c r="S30" s="52" t="s">
        <v>76</v>
      </c>
      <c r="T30" s="53" t="s">
        <v>461</v>
      </c>
      <c r="U30" s="44" t="s">
        <v>462</v>
      </c>
      <c r="V30" s="44" t="s">
        <v>463</v>
      </c>
      <c r="W30" s="44" t="s">
        <v>464</v>
      </c>
      <c r="Y30" s="62">
        <f>IF(H30=Reference!$A$12, Reference!$C$12, IF(H30=Reference!$A$11, Reference!$C$11, IF(H30=Reference!$A$10, Reference!$C$10, IF(H30=Reference!$A$9, Reference!$C$9, 0))))</f>
        <v>7</v>
      </c>
      <c r="Z30" s="62">
        <f>IF(J30=Reference!$A$20, Reference!$C$20, IF(J30=Reference!$A$19, Reference!$C$19, IF(J30=Reference!$A$18, Reference!$C$18, IF(J30=Reference!$A$17, Reference!$C$17, 0))))</f>
        <v>7</v>
      </c>
      <c r="AA30" s="62">
        <f>IF(L30=Reference!$A$28, Reference!$C$28, IF(L30=Reference!$A$27, Reference!$C$27, IF(L30=Reference!$A$26, Reference!$C$26, IF(L30=Reference!$A$25, Reference!$C$25, 0))))</f>
        <v>7</v>
      </c>
      <c r="AB30" s="62">
        <f>IF(N30=Reference!$A$36, Reference!$C$36, IF(N30=Reference!$A$35, Reference!$C$35, IF(N30=Reference!$A$34, Reference!$C$34, IF(N30=Reference!$A$33, Reference!$C$33, 0))))</f>
        <v>1</v>
      </c>
      <c r="AC30" s="62">
        <f>(Reference!$B$2*Y30 + Reference!$B$3*AA30 + Reference!$B$4*Z30 + Reference!$B$5*AB30)/4</f>
        <v>11.4375</v>
      </c>
      <c r="AD30" s="62">
        <f>IF(Q30=Reference!$C$41, Reference!$D$41, IF(Q30=Reference!$C$42, Reference!$D$42, IF(Q30=Reference!$C$43, Reference!$D$43, IF(Q30=Reference!$C$44, Reference!$D$44, 0))))</f>
        <v>7</v>
      </c>
      <c r="AE30" s="62">
        <f t="shared" si="5"/>
        <v>81.0625</v>
      </c>
    </row>
    <row r="31" spans="1:31" ht="54.45" customHeight="1">
      <c r="A31" s="50" t="s">
        <v>465</v>
      </c>
      <c r="B31" s="44" t="s">
        <v>347</v>
      </c>
      <c r="C31" s="44" t="s">
        <v>348</v>
      </c>
      <c r="D31" s="45" t="s">
        <v>466</v>
      </c>
      <c r="E31" s="45" t="s">
        <v>467</v>
      </c>
      <c r="F31" s="44" t="s">
        <v>98</v>
      </c>
      <c r="G31" s="44" t="s">
        <v>468</v>
      </c>
      <c r="H31" s="44" t="s">
        <v>41</v>
      </c>
      <c r="I31" s="44" t="s">
        <v>469</v>
      </c>
      <c r="J31" s="44" t="s">
        <v>41</v>
      </c>
      <c r="K31" s="44" t="s">
        <v>470</v>
      </c>
      <c r="L31" s="44" t="s">
        <v>41</v>
      </c>
      <c r="M31" s="44" t="s">
        <v>471</v>
      </c>
      <c r="N31" s="44" t="s">
        <v>41</v>
      </c>
      <c r="O31" s="44" t="s">
        <v>472</v>
      </c>
      <c r="P31" s="51" t="str">
        <f>IF(AC31&gt;=Reference!$H$2, Reference!$G$2, IF(AC31&gt;=Reference!$H$3, Reference!$G$3, IF(AC31&gt;=Reference!$H$4, Reference!$G$4, IF(AC31&gt;=Reference!$H$5, Reference!$G$5, ""))))</f>
        <v>Severe</v>
      </c>
      <c r="Q31" s="51" t="str">
        <f t="shared" ref="Q31:Q94" si="6">IF(F31="Physical", "Very Low", IF(F31="Local", "Low", IF(F31="Adjacent", "Medium", IF(F31="Network", "High", ""))))</f>
        <v>High</v>
      </c>
      <c r="R31" s="51" t="str">
        <f>IF(AE31&gt;=Reference!$D$2, Reference!$G$2, IF(AE31&gt;=Reference!$D$3, Reference!$E$3, IF(AE31&gt;=Reference!$D$4, Reference!$E$4, IF(AE31&gt;=Reference!$D$5, Reference!$E$5, ""))))</f>
        <v>Severe</v>
      </c>
      <c r="S31" s="52" t="s">
        <v>76</v>
      </c>
      <c r="T31" s="53" t="s">
        <v>473</v>
      </c>
      <c r="U31" s="44" t="s">
        <v>474</v>
      </c>
      <c r="V31" s="44" t="s">
        <v>475</v>
      </c>
      <c r="W31" s="44" t="s">
        <v>476</v>
      </c>
      <c r="Y31" s="62">
        <f>IF(H31=Reference!$A$12, Reference!$C$12, IF(H31=Reference!$A$11, Reference!$C$11, IF(H31=Reference!$A$10, Reference!$C$10, IF(H31=Reference!$A$9, Reference!$C$9, 0))))</f>
        <v>7</v>
      </c>
      <c r="Z31" s="62">
        <f>IF(J31=Reference!$A$20, Reference!$C$20, IF(J31=Reference!$A$19, Reference!$C$19, IF(J31=Reference!$A$18, Reference!$C$18, IF(J31=Reference!$A$17, Reference!$C$17, 0))))</f>
        <v>7</v>
      </c>
      <c r="AA31" s="62">
        <f>IF(L31=Reference!$A$28, Reference!$C$28, IF(L31=Reference!$A$27, Reference!$C$27, IF(L31=Reference!$A$26, Reference!$C$26, IF(L31=Reference!$A$25, Reference!$C$25, 0))))</f>
        <v>7</v>
      </c>
      <c r="AB31" s="62">
        <f>IF(N31=Reference!$A$36, Reference!$C$36, IF(N31=Reference!$A$35, Reference!$C$35, IF(N31=Reference!$A$34, Reference!$C$34, IF(N31=Reference!$A$33, Reference!$C$33, 0))))</f>
        <v>7</v>
      </c>
      <c r="AC31" s="62">
        <f>(Reference!$B$2*Y31 + Reference!$B$3*AA31 + Reference!$B$4*Z31 + Reference!$B$5*AB31)/4</f>
        <v>11.8125</v>
      </c>
      <c r="AD31" s="62">
        <f>IF(Q31=Reference!$C$41, Reference!$D$41, IF(Q31=Reference!$C$42, Reference!$D$42, IF(Q31=Reference!$C$43, Reference!$D$43, IF(Q31=Reference!$C$44, Reference!$D$44, 0))))</f>
        <v>10</v>
      </c>
      <c r="AE31" s="62">
        <f t="shared" ref="AE31:AE94" si="7">1+(AC31*AD31)</f>
        <v>119.125</v>
      </c>
    </row>
    <row r="32" spans="1:31" ht="54.45" customHeight="1">
      <c r="A32" s="50" t="s">
        <v>477</v>
      </c>
      <c r="B32" s="44" t="s">
        <v>71</v>
      </c>
      <c r="C32" s="44" t="s">
        <v>117</v>
      </c>
      <c r="D32" s="45" t="s">
        <v>478</v>
      </c>
      <c r="E32" s="59" t="s">
        <v>479</v>
      </c>
      <c r="F32" s="44" t="s">
        <v>98</v>
      </c>
      <c r="G32" s="44" t="s">
        <v>480</v>
      </c>
      <c r="H32" s="44" t="s">
        <v>41</v>
      </c>
      <c r="I32" s="44" t="s">
        <v>481</v>
      </c>
      <c r="J32" s="44" t="s">
        <v>41</v>
      </c>
      <c r="K32" s="54" t="s">
        <v>482</v>
      </c>
      <c r="L32" s="44" t="s">
        <v>41</v>
      </c>
      <c r="M32" s="54" t="s">
        <v>483</v>
      </c>
      <c r="N32" s="44" t="s">
        <v>47</v>
      </c>
      <c r="O32" s="54" t="s">
        <v>233</v>
      </c>
      <c r="P32" s="51" t="str">
        <f>IF(AC32&gt;=Reference!$H$2, Reference!$G$2, IF(AC32&gt;=Reference!$H$3, Reference!$G$3, IF(AC32&gt;=Reference!$H$4, Reference!$G$4, IF(AC32&gt;=Reference!$H$5, Reference!$G$5, ""))))</f>
        <v>Severe</v>
      </c>
      <c r="Q32" s="51" t="str">
        <f t="shared" si="6"/>
        <v>High</v>
      </c>
      <c r="R32" s="51" t="str">
        <f>IF(AE32&gt;=Reference!$D$2, Reference!$G$2, IF(AE32&gt;=Reference!$D$3, Reference!$E$3, IF(AE32&gt;=Reference!$D$4, Reference!$E$4, IF(AE32&gt;=Reference!$D$5, Reference!$E$5, ""))))</f>
        <v>Severe</v>
      </c>
      <c r="S32" s="52" t="s">
        <v>76</v>
      </c>
      <c r="T32" s="53" t="s">
        <v>484</v>
      </c>
      <c r="U32" s="44" t="s">
        <v>485</v>
      </c>
      <c r="V32" s="44" t="s">
        <v>486</v>
      </c>
      <c r="W32" s="44" t="s">
        <v>487</v>
      </c>
      <c r="Y32" s="62">
        <f>IF(H32=Reference!$A$12, Reference!$C$12, IF(H32=Reference!$A$11, Reference!$C$11, IF(H32=Reference!$A$10, Reference!$C$10, IF(H32=Reference!$A$9, Reference!$C$9, 0))))</f>
        <v>7</v>
      </c>
      <c r="Z32" s="62">
        <f>IF(J32=Reference!$A$20, Reference!$C$20, IF(J32=Reference!$A$19, Reference!$C$19, IF(J32=Reference!$A$18, Reference!$C$18, IF(J32=Reference!$A$17, Reference!$C$17, 0))))</f>
        <v>7</v>
      </c>
      <c r="AA32" s="62">
        <f>IF(L32=Reference!$A$28, Reference!$C$28, IF(L32=Reference!$A$27, Reference!$C$27, IF(L32=Reference!$A$26, Reference!$C$26, IF(L32=Reference!$A$25, Reference!$C$25, 0))))</f>
        <v>7</v>
      </c>
      <c r="AB32" s="62">
        <f>IF(N32=Reference!$A$36, Reference!$C$36, IF(N32=Reference!$A$35, Reference!$C$35, IF(N32=Reference!$A$34, Reference!$C$34, IF(N32=Reference!$A$33, Reference!$C$33, 0))))</f>
        <v>1</v>
      </c>
      <c r="AC32" s="62">
        <f>(Reference!$B$2*Y32 + Reference!$B$3*AA32 + Reference!$B$4*Z32 + Reference!$B$5*AB32)/4</f>
        <v>11.4375</v>
      </c>
      <c r="AD32" s="62">
        <f>IF(Q32=Reference!$C$41, Reference!$D$41, IF(Q32=Reference!$C$42, Reference!$D$42, IF(Q32=Reference!$C$43, Reference!$D$43, IF(Q32=Reference!$C$44, Reference!$D$44, 0))))</f>
        <v>10</v>
      </c>
      <c r="AE32" s="62">
        <f t="shared" si="7"/>
        <v>115.375</v>
      </c>
    </row>
    <row r="33" spans="1:31" ht="54.45" customHeight="1">
      <c r="A33" s="50" t="s">
        <v>488</v>
      </c>
      <c r="B33" s="44" t="s">
        <v>347</v>
      </c>
      <c r="C33" s="44" t="s">
        <v>348</v>
      </c>
      <c r="D33" s="45" t="s">
        <v>489</v>
      </c>
      <c r="E33" s="45" t="s">
        <v>490</v>
      </c>
      <c r="F33" s="44" t="s">
        <v>98</v>
      </c>
      <c r="G33" s="44" t="s">
        <v>491</v>
      </c>
      <c r="H33" s="44" t="s">
        <v>41</v>
      </c>
      <c r="I33" s="44" t="s">
        <v>492</v>
      </c>
      <c r="J33" s="44" t="s">
        <v>41</v>
      </c>
      <c r="K33" s="54" t="s">
        <v>493</v>
      </c>
      <c r="L33" s="44" t="s">
        <v>41</v>
      </c>
      <c r="M33" s="44" t="s">
        <v>494</v>
      </c>
      <c r="N33" s="44" t="s">
        <v>41</v>
      </c>
      <c r="O33" s="44" t="s">
        <v>495</v>
      </c>
      <c r="P33" s="51" t="str">
        <f>IF(AC33&gt;=Reference!$H$2, Reference!$G$2, IF(AC33&gt;=Reference!$H$3, Reference!$G$3, IF(AC33&gt;=Reference!$H$4, Reference!$G$4, IF(AC33&gt;=Reference!$H$5, Reference!$G$5, ""))))</f>
        <v>Severe</v>
      </c>
      <c r="Q33" s="51" t="str">
        <f t="shared" si="6"/>
        <v>High</v>
      </c>
      <c r="R33" s="51" t="str">
        <f>IF(AE33&gt;=Reference!$D$2, Reference!$G$2, IF(AE33&gt;=Reference!$D$3, Reference!$E$3, IF(AE33&gt;=Reference!$D$4, Reference!$E$4, IF(AE33&gt;=Reference!$D$5, Reference!$E$5, ""))))</f>
        <v>Severe</v>
      </c>
      <c r="S33" s="52" t="s">
        <v>76</v>
      </c>
      <c r="T33" s="53" t="s">
        <v>496</v>
      </c>
      <c r="U33" s="44" t="s">
        <v>497</v>
      </c>
      <c r="V33" s="44" t="s">
        <v>498</v>
      </c>
      <c r="W33" s="44" t="s">
        <v>499</v>
      </c>
      <c r="Y33" s="62">
        <f>IF(H33=Reference!$A$12, Reference!$C$12, IF(H33=Reference!$A$11, Reference!$C$11, IF(H33=Reference!$A$10, Reference!$C$10, IF(H33=Reference!$A$9, Reference!$C$9, 0))))</f>
        <v>7</v>
      </c>
      <c r="Z33" s="62">
        <f>IF(J33=Reference!$A$20, Reference!$C$20, IF(J33=Reference!$A$19, Reference!$C$19, IF(J33=Reference!$A$18, Reference!$C$18, IF(J33=Reference!$A$17, Reference!$C$17, 0))))</f>
        <v>7</v>
      </c>
      <c r="AA33" s="62">
        <f>IF(L33=Reference!$A$28, Reference!$C$28, IF(L33=Reference!$A$27, Reference!$C$27, IF(L33=Reference!$A$26, Reference!$C$26, IF(L33=Reference!$A$25, Reference!$C$25, 0))))</f>
        <v>7</v>
      </c>
      <c r="AB33" s="62">
        <f>IF(N33=Reference!$A$36, Reference!$C$36, IF(N33=Reference!$A$35, Reference!$C$35, IF(N33=Reference!$A$34, Reference!$C$34, IF(N33=Reference!$A$33, Reference!$C$33, 0))))</f>
        <v>7</v>
      </c>
      <c r="AC33" s="62">
        <f>(Reference!$B$2*Y33 + Reference!$B$3*AA33 + Reference!$B$4*Z33 + Reference!$B$5*AB33)/4</f>
        <v>11.8125</v>
      </c>
      <c r="AD33" s="62">
        <f>IF(Q33=Reference!$C$41, Reference!$D$41, IF(Q33=Reference!$C$42, Reference!$D$42, IF(Q33=Reference!$C$43, Reference!$D$43, IF(Q33=Reference!$C$44, Reference!$D$44, 0))))</f>
        <v>10</v>
      </c>
      <c r="AE33" s="62">
        <f t="shared" si="7"/>
        <v>119.125</v>
      </c>
    </row>
    <row r="34" spans="1:31" ht="54.45" customHeight="1">
      <c r="A34" s="50" t="s">
        <v>500</v>
      </c>
      <c r="B34" s="44" t="s">
        <v>71</v>
      </c>
      <c r="C34" s="44" t="s">
        <v>117</v>
      </c>
      <c r="D34" s="45" t="s">
        <v>501</v>
      </c>
      <c r="E34" s="45" t="s">
        <v>502</v>
      </c>
      <c r="F34" s="44" t="s">
        <v>98</v>
      </c>
      <c r="G34" s="44" t="s">
        <v>503</v>
      </c>
      <c r="H34" s="44" t="s">
        <v>41</v>
      </c>
      <c r="I34" s="44" t="s">
        <v>504</v>
      </c>
      <c r="J34" s="44" t="s">
        <v>41</v>
      </c>
      <c r="K34" s="54" t="s">
        <v>505</v>
      </c>
      <c r="L34" s="44" t="s">
        <v>41</v>
      </c>
      <c r="M34" s="54" t="s">
        <v>506</v>
      </c>
      <c r="N34" s="44" t="s">
        <v>47</v>
      </c>
      <c r="O34" s="44" t="s">
        <v>245</v>
      </c>
      <c r="P34" s="51" t="str">
        <f>IF(AC34&gt;=Reference!$H$2, Reference!$G$2, IF(AC34&gt;=Reference!$H$3, Reference!$G$3, IF(AC34&gt;=Reference!$H$4, Reference!$G$4, IF(AC34&gt;=Reference!$H$5, Reference!$G$5, ""))))</f>
        <v>Severe</v>
      </c>
      <c r="Q34" s="51" t="str">
        <f t="shared" si="6"/>
        <v>High</v>
      </c>
      <c r="R34" s="51" t="str">
        <f>IF(AE34&gt;=Reference!$D$2, Reference!$G$2, IF(AE34&gt;=Reference!$D$3, Reference!$E$3, IF(AE34&gt;=Reference!$D$4, Reference!$E$4, IF(AE34&gt;=Reference!$D$5, Reference!$E$5, ""))))</f>
        <v>Severe</v>
      </c>
      <c r="S34" s="52" t="s">
        <v>76</v>
      </c>
      <c r="T34" s="53" t="s">
        <v>507</v>
      </c>
      <c r="U34" s="44" t="s">
        <v>508</v>
      </c>
      <c r="V34" s="44" t="s">
        <v>509</v>
      </c>
      <c r="W34" s="44" t="s">
        <v>510</v>
      </c>
      <c r="Y34" s="62">
        <f>IF(H34=Reference!$A$12, Reference!$C$12, IF(H34=Reference!$A$11, Reference!$C$11, IF(H34=Reference!$A$10, Reference!$C$10, IF(H34=Reference!$A$9, Reference!$C$9, 0))))</f>
        <v>7</v>
      </c>
      <c r="Z34" s="62">
        <f>IF(J34=Reference!$A$20, Reference!$C$20, IF(J34=Reference!$A$19, Reference!$C$19, IF(J34=Reference!$A$18, Reference!$C$18, IF(J34=Reference!$A$17, Reference!$C$17, 0))))</f>
        <v>7</v>
      </c>
      <c r="AA34" s="62">
        <f>IF(L34=Reference!$A$28, Reference!$C$28, IF(L34=Reference!$A$27, Reference!$C$27, IF(L34=Reference!$A$26, Reference!$C$26, IF(L34=Reference!$A$25, Reference!$C$25, 0))))</f>
        <v>7</v>
      </c>
      <c r="AB34" s="62">
        <f>IF(N34=Reference!$A$36, Reference!$C$36, IF(N34=Reference!$A$35, Reference!$C$35, IF(N34=Reference!$A$34, Reference!$C$34, IF(N34=Reference!$A$33, Reference!$C$33, 0))))</f>
        <v>1</v>
      </c>
      <c r="AC34" s="62">
        <f>(Reference!$B$2*Y34 + Reference!$B$3*AA34 + Reference!$B$4*Z34 + Reference!$B$5*AB34)/4</f>
        <v>11.4375</v>
      </c>
      <c r="AD34" s="62">
        <f>IF(Q34=Reference!$C$41, Reference!$D$41, IF(Q34=Reference!$C$42, Reference!$D$42, IF(Q34=Reference!$C$43, Reference!$D$43, IF(Q34=Reference!$C$44, Reference!$D$44, 0))))</f>
        <v>10</v>
      </c>
      <c r="AE34" s="62">
        <f t="shared" si="7"/>
        <v>115.375</v>
      </c>
    </row>
    <row r="35" spans="1:31" ht="54.45" customHeight="1">
      <c r="A35" s="50" t="s">
        <v>511</v>
      </c>
      <c r="B35" s="44" t="s">
        <v>347</v>
      </c>
      <c r="C35" s="44" t="s">
        <v>348</v>
      </c>
      <c r="D35" s="45" t="s">
        <v>512</v>
      </c>
      <c r="E35" s="45" t="s">
        <v>513</v>
      </c>
      <c r="F35" s="44" t="s">
        <v>98</v>
      </c>
      <c r="G35" s="44" t="s">
        <v>514</v>
      </c>
      <c r="H35" s="44" t="s">
        <v>41</v>
      </c>
      <c r="I35" s="54" t="s">
        <v>515</v>
      </c>
      <c r="J35" s="44" t="s">
        <v>41</v>
      </c>
      <c r="K35" s="54" t="s">
        <v>516</v>
      </c>
      <c r="L35" s="44" t="s">
        <v>41</v>
      </c>
      <c r="M35" s="44" t="s">
        <v>517</v>
      </c>
      <c r="N35" s="44" t="s">
        <v>41</v>
      </c>
      <c r="O35" s="44" t="s">
        <v>518</v>
      </c>
      <c r="P35" s="51" t="str">
        <f>IF(AC35&gt;=Reference!$H$2, Reference!$G$2, IF(AC35&gt;=Reference!$H$3, Reference!$G$3, IF(AC35&gt;=Reference!$H$4, Reference!$G$4, IF(AC35&gt;=Reference!$H$5, Reference!$G$5, ""))))</f>
        <v>Severe</v>
      </c>
      <c r="Q35" s="51" t="str">
        <f t="shared" si="6"/>
        <v>High</v>
      </c>
      <c r="R35" s="51" t="str">
        <f>IF(AE35&gt;=Reference!$D$2, Reference!$G$2, IF(AE35&gt;=Reference!$D$3, Reference!$E$3, IF(AE35&gt;=Reference!$D$4, Reference!$E$4, IF(AE35&gt;=Reference!$D$5, Reference!$E$5, ""))))</f>
        <v>Severe</v>
      </c>
      <c r="S35" s="52" t="s">
        <v>76</v>
      </c>
      <c r="T35" s="53" t="s">
        <v>519</v>
      </c>
      <c r="U35" s="44" t="s">
        <v>520</v>
      </c>
      <c r="V35" s="54" t="s">
        <v>521</v>
      </c>
      <c r="W35" s="44" t="s">
        <v>522</v>
      </c>
      <c r="Y35" s="62">
        <f>IF(H35=Reference!$A$12, Reference!$C$12, IF(H35=Reference!$A$11, Reference!$C$11, IF(H35=Reference!$A$10, Reference!$C$10, IF(H35=Reference!$A$9, Reference!$C$9, 0))))</f>
        <v>7</v>
      </c>
      <c r="Z35" s="62">
        <f>IF(J35=Reference!$A$20, Reference!$C$20, IF(J35=Reference!$A$19, Reference!$C$19, IF(J35=Reference!$A$18, Reference!$C$18, IF(J35=Reference!$A$17, Reference!$C$17, 0))))</f>
        <v>7</v>
      </c>
      <c r="AA35" s="62">
        <f>IF(L35=Reference!$A$28, Reference!$C$28, IF(L35=Reference!$A$27, Reference!$C$27, IF(L35=Reference!$A$26, Reference!$C$26, IF(L35=Reference!$A$25, Reference!$C$25, 0))))</f>
        <v>7</v>
      </c>
      <c r="AB35" s="62">
        <f>IF(N35=Reference!$A$36, Reference!$C$36, IF(N35=Reference!$A$35, Reference!$C$35, IF(N35=Reference!$A$34, Reference!$C$34, IF(N35=Reference!$A$33, Reference!$C$33, 0))))</f>
        <v>7</v>
      </c>
      <c r="AC35" s="62">
        <f>(Reference!$B$2*Y35 + Reference!$B$3*AA35 + Reference!$B$4*Z35 + Reference!$B$5*AB35)/4</f>
        <v>11.8125</v>
      </c>
      <c r="AD35" s="62">
        <f>IF(Q35=Reference!$C$41, Reference!$D$41, IF(Q35=Reference!$C$42, Reference!$D$42, IF(Q35=Reference!$C$43, Reference!$D$43, IF(Q35=Reference!$C$44, Reference!$D$44, 0))))</f>
        <v>10</v>
      </c>
      <c r="AE35" s="62">
        <f t="shared" si="7"/>
        <v>119.125</v>
      </c>
    </row>
    <row r="36" spans="1:31" ht="54.45" customHeight="1">
      <c r="A36" s="50" t="s">
        <v>523</v>
      </c>
      <c r="B36" s="44" t="s">
        <v>71</v>
      </c>
      <c r="C36" s="44" t="s">
        <v>117</v>
      </c>
      <c r="D36" s="45" t="s">
        <v>524</v>
      </c>
      <c r="E36" s="59" t="s">
        <v>525</v>
      </c>
      <c r="F36" s="44" t="s">
        <v>98</v>
      </c>
      <c r="G36" s="44" t="s">
        <v>526</v>
      </c>
      <c r="H36" s="44" t="s">
        <v>41</v>
      </c>
      <c r="I36" s="46" t="s">
        <v>527</v>
      </c>
      <c r="J36" s="44" t="s">
        <v>41</v>
      </c>
      <c r="K36" s="54" t="s">
        <v>528</v>
      </c>
      <c r="L36" s="44" t="s">
        <v>41</v>
      </c>
      <c r="M36" s="54" t="s">
        <v>529</v>
      </c>
      <c r="N36" s="44" t="s">
        <v>41</v>
      </c>
      <c r="O36" s="54" t="s">
        <v>530</v>
      </c>
      <c r="P36" s="51" t="str">
        <f>IF(AC36&gt;=Reference!$H$2, Reference!$G$2, IF(AC36&gt;=Reference!$H$3, Reference!$G$3, IF(AC36&gt;=Reference!$H$4, Reference!$G$4, IF(AC36&gt;=Reference!$H$5, Reference!$G$5, ""))))</f>
        <v>Severe</v>
      </c>
      <c r="Q36" s="51" t="str">
        <f t="shared" si="6"/>
        <v>High</v>
      </c>
      <c r="R36" s="51" t="str">
        <f>IF(AE36&gt;=Reference!$D$2, Reference!$G$2, IF(AE36&gt;=Reference!$D$3, Reference!$E$3, IF(AE36&gt;=Reference!$D$4, Reference!$E$4, IF(AE36&gt;=Reference!$D$5, Reference!$E$5, ""))))</f>
        <v>Severe</v>
      </c>
      <c r="S36" s="52" t="s">
        <v>76</v>
      </c>
      <c r="T36" s="53" t="s">
        <v>531</v>
      </c>
      <c r="U36" s="44" t="s">
        <v>532</v>
      </c>
      <c r="V36" s="44" t="s">
        <v>533</v>
      </c>
      <c r="W36" s="44" t="s">
        <v>534</v>
      </c>
      <c r="Y36" s="62">
        <f>IF(H36=Reference!$A$12, Reference!$C$12, IF(H36=Reference!$A$11, Reference!$C$11, IF(H36=Reference!$A$10, Reference!$C$10, IF(H36=Reference!$A$9, Reference!$C$9, 0))))</f>
        <v>7</v>
      </c>
      <c r="Z36" s="62">
        <f>IF(J36=Reference!$A$20, Reference!$C$20, IF(J36=Reference!$A$19, Reference!$C$19, IF(J36=Reference!$A$18, Reference!$C$18, IF(J36=Reference!$A$17, Reference!$C$17, 0))))</f>
        <v>7</v>
      </c>
      <c r="AA36" s="62">
        <f>IF(L36=Reference!$A$28, Reference!$C$28, IF(L36=Reference!$A$27, Reference!$C$27, IF(L36=Reference!$A$26, Reference!$C$26, IF(L36=Reference!$A$25, Reference!$C$25, 0))))</f>
        <v>7</v>
      </c>
      <c r="AB36" s="62">
        <f>IF(N36=Reference!$A$36, Reference!$C$36, IF(N36=Reference!$A$35, Reference!$C$35, IF(N36=Reference!$A$34, Reference!$C$34, IF(N36=Reference!$A$33, Reference!$C$33, 0))))</f>
        <v>7</v>
      </c>
      <c r="AC36" s="62">
        <f>(Reference!$B$2*Y36 + Reference!$B$3*AA36 + Reference!$B$4*Z36 + Reference!$B$5*AB36)/4</f>
        <v>11.8125</v>
      </c>
      <c r="AD36" s="62">
        <f>IF(Q36=Reference!$C$41, Reference!$D$41, IF(Q36=Reference!$C$42, Reference!$D$42, IF(Q36=Reference!$C$43, Reference!$D$43, IF(Q36=Reference!$C$44, Reference!$D$44, 0))))</f>
        <v>10</v>
      </c>
      <c r="AE36" s="62">
        <f t="shared" si="7"/>
        <v>119.125</v>
      </c>
    </row>
    <row r="37" spans="1:31" ht="54.45" customHeight="1">
      <c r="A37" s="50" t="s">
        <v>535</v>
      </c>
      <c r="B37" s="44" t="s">
        <v>347</v>
      </c>
      <c r="C37" s="44" t="s">
        <v>348</v>
      </c>
      <c r="D37" s="45" t="s">
        <v>536</v>
      </c>
      <c r="E37" s="45" t="s">
        <v>537</v>
      </c>
      <c r="F37" s="44" t="s">
        <v>98</v>
      </c>
      <c r="G37" s="44" t="s">
        <v>538</v>
      </c>
      <c r="H37" s="44" t="s">
        <v>41</v>
      </c>
      <c r="I37" s="44" t="s">
        <v>539</v>
      </c>
      <c r="J37" s="44" t="s">
        <v>41</v>
      </c>
      <c r="K37" s="44" t="s">
        <v>540</v>
      </c>
      <c r="L37" s="44" t="s">
        <v>41</v>
      </c>
      <c r="M37" s="44" t="s">
        <v>541</v>
      </c>
      <c r="N37" s="44" t="s">
        <v>41</v>
      </c>
      <c r="O37" s="44" t="s">
        <v>542</v>
      </c>
      <c r="P37" s="51" t="str">
        <f>IF(AC37&gt;=Reference!$H$2, Reference!$G$2, IF(AC37&gt;=Reference!$H$3, Reference!$G$3, IF(AC37&gt;=Reference!$H$4, Reference!$G$4, IF(AC37&gt;=Reference!$H$5, Reference!$G$5, ""))))</f>
        <v>Severe</v>
      </c>
      <c r="Q37" s="51" t="str">
        <f t="shared" si="6"/>
        <v>High</v>
      </c>
      <c r="R37" s="51" t="str">
        <f>IF(AE37&gt;=Reference!$D$2, Reference!$G$2, IF(AE37&gt;=Reference!$D$3, Reference!$E$3, IF(AE37&gt;=Reference!$D$4, Reference!$E$4, IF(AE37&gt;=Reference!$D$5, Reference!$E$5, ""))))</f>
        <v>Severe</v>
      </c>
      <c r="S37" s="52" t="s">
        <v>76</v>
      </c>
      <c r="T37" s="53" t="s">
        <v>543</v>
      </c>
      <c r="U37" s="44" t="s">
        <v>544</v>
      </c>
      <c r="V37" s="44" t="s">
        <v>545</v>
      </c>
      <c r="W37" s="44" t="s">
        <v>546</v>
      </c>
      <c r="Y37" s="62">
        <f>IF(H37=Reference!$A$12, Reference!$C$12, IF(H37=Reference!$A$11, Reference!$C$11, IF(H37=Reference!$A$10, Reference!$C$10, IF(H37=Reference!$A$9, Reference!$C$9, 0))))</f>
        <v>7</v>
      </c>
      <c r="Z37" s="62">
        <f>IF(J37=Reference!$A$20, Reference!$C$20, IF(J37=Reference!$A$19, Reference!$C$19, IF(J37=Reference!$A$18, Reference!$C$18, IF(J37=Reference!$A$17, Reference!$C$17, 0))))</f>
        <v>7</v>
      </c>
      <c r="AA37" s="62">
        <f>IF(L37=Reference!$A$28, Reference!$C$28, IF(L37=Reference!$A$27, Reference!$C$27, IF(L37=Reference!$A$26, Reference!$C$26, IF(L37=Reference!$A$25, Reference!$C$25, 0))))</f>
        <v>7</v>
      </c>
      <c r="AB37" s="62">
        <f>IF(N37=Reference!$A$36, Reference!$C$36, IF(N37=Reference!$A$35, Reference!$C$35, IF(N37=Reference!$A$34, Reference!$C$34, IF(N37=Reference!$A$33, Reference!$C$33, 0))))</f>
        <v>7</v>
      </c>
      <c r="AC37" s="62">
        <f>(Reference!$B$2*Y37 + Reference!$B$3*AA37 + Reference!$B$4*Z37 + Reference!$B$5*AB37)/4</f>
        <v>11.8125</v>
      </c>
      <c r="AD37" s="62">
        <f>IF(Q37=Reference!$C$41, Reference!$D$41, IF(Q37=Reference!$C$42, Reference!$D$42, IF(Q37=Reference!$C$43, Reference!$D$43, IF(Q37=Reference!$C$44, Reference!$D$44, 0))))</f>
        <v>10</v>
      </c>
      <c r="AE37" s="62">
        <f t="shared" si="7"/>
        <v>119.125</v>
      </c>
    </row>
    <row r="38" spans="1:31" ht="54.45" customHeight="1">
      <c r="A38" s="50" t="s">
        <v>547</v>
      </c>
      <c r="B38" s="44" t="s">
        <v>299</v>
      </c>
      <c r="C38" s="44" t="s">
        <v>300</v>
      </c>
      <c r="D38" s="45" t="s">
        <v>548</v>
      </c>
      <c r="E38" s="45" t="s">
        <v>549</v>
      </c>
      <c r="F38" s="44" t="s">
        <v>98</v>
      </c>
      <c r="G38" s="46" t="s">
        <v>550</v>
      </c>
      <c r="H38" s="44" t="s">
        <v>47</v>
      </c>
      <c r="I38" s="44" t="s">
        <v>551</v>
      </c>
      <c r="J38" s="44" t="s">
        <v>41</v>
      </c>
      <c r="K38" s="44" t="s">
        <v>552</v>
      </c>
      <c r="L38" s="44" t="s">
        <v>44</v>
      </c>
      <c r="M38" s="44" t="s">
        <v>553</v>
      </c>
      <c r="N38" s="44" t="s">
        <v>41</v>
      </c>
      <c r="O38" s="44" t="s">
        <v>554</v>
      </c>
      <c r="P38" s="51" t="str">
        <f>IF(AC38&gt;=Reference!$H$2, Reference!$G$2, IF(AC38&gt;=Reference!$H$3, Reference!$G$3, IF(AC38&gt;=Reference!$H$4, Reference!$G$4, IF(AC38&gt;=Reference!$H$5, Reference!$G$5, ""))))</f>
        <v>Moderate</v>
      </c>
      <c r="Q38" s="51" t="str">
        <f t="shared" si="6"/>
        <v>High</v>
      </c>
      <c r="R38" s="51" t="str">
        <f>IF(AE38&gt;=Reference!$D$2, Reference!$G$2, IF(AE38&gt;=Reference!$D$3, Reference!$E$3, IF(AE38&gt;=Reference!$D$4, Reference!$E$4, IF(AE38&gt;=Reference!$D$5, Reference!$E$5, ""))))</f>
        <v>Medium</v>
      </c>
      <c r="S38" s="52" t="s">
        <v>76</v>
      </c>
      <c r="T38" s="53" t="s">
        <v>555</v>
      </c>
      <c r="U38" s="44" t="s">
        <v>556</v>
      </c>
      <c r="V38" s="44" t="s">
        <v>557</v>
      </c>
      <c r="W38" s="44" t="s">
        <v>558</v>
      </c>
      <c r="Y38" s="62">
        <f>IF(H38=Reference!$A$12, Reference!$C$12, IF(H38=Reference!$A$11, Reference!$C$11, IF(H38=Reference!$A$10, Reference!$C$10, IF(H38=Reference!$A$9, Reference!$C$9, 0))))</f>
        <v>1</v>
      </c>
      <c r="Z38" s="62">
        <f>IF(J38=Reference!$A$20, Reference!$C$20, IF(J38=Reference!$A$19, Reference!$C$19, IF(J38=Reference!$A$18, Reference!$C$18, IF(J38=Reference!$A$17, Reference!$C$17, 0))))</f>
        <v>7</v>
      </c>
      <c r="AA38" s="62">
        <f>IF(L38=Reference!$A$28, Reference!$C$28, IF(L38=Reference!$A$27, Reference!$C$27, IF(L38=Reference!$A$26, Reference!$C$26, IF(L38=Reference!$A$25, Reference!$C$25, 0))))</f>
        <v>4</v>
      </c>
      <c r="AB38" s="62">
        <f>IF(N38=Reference!$A$36, Reference!$C$36, IF(N38=Reference!$A$35, Reference!$C$35, IF(N38=Reference!$A$34, Reference!$C$34, IF(N38=Reference!$A$33, Reference!$C$33, 0))))</f>
        <v>7</v>
      </c>
      <c r="AC38" s="62">
        <f>(Reference!$B$2*Y38 + Reference!$B$3*AA38 + Reference!$B$4*Z38 + Reference!$B$5*AB38)/4</f>
        <v>3.5625</v>
      </c>
      <c r="AD38" s="62">
        <f>IF(Q38=Reference!$C$41, Reference!$D$41, IF(Q38=Reference!$C$42, Reference!$D$42, IF(Q38=Reference!$C$43, Reference!$D$43, IF(Q38=Reference!$C$44, Reference!$D$44, 0))))</f>
        <v>10</v>
      </c>
      <c r="AE38" s="62">
        <f t="shared" si="7"/>
        <v>36.625</v>
      </c>
    </row>
    <row r="39" spans="1:31" ht="54.45" customHeight="1">
      <c r="A39" s="50" t="s">
        <v>559</v>
      </c>
      <c r="B39" s="44" t="s">
        <v>79</v>
      </c>
      <c r="C39" s="44" t="s">
        <v>226</v>
      </c>
      <c r="D39" s="45" t="s">
        <v>560</v>
      </c>
      <c r="E39" s="45" t="s">
        <v>561</v>
      </c>
      <c r="F39" s="44" t="s">
        <v>98</v>
      </c>
      <c r="G39" s="44" t="s">
        <v>562</v>
      </c>
      <c r="H39" s="44" t="s">
        <v>41</v>
      </c>
      <c r="I39" s="44" t="s">
        <v>563</v>
      </c>
      <c r="J39" s="44" t="s">
        <v>41</v>
      </c>
      <c r="K39" s="44" t="s">
        <v>564</v>
      </c>
      <c r="L39" s="44" t="s">
        <v>41</v>
      </c>
      <c r="M39" s="44" t="s">
        <v>565</v>
      </c>
      <c r="N39" s="44" t="s">
        <v>47</v>
      </c>
      <c r="O39" s="44" t="s">
        <v>245</v>
      </c>
      <c r="P39" s="51" t="str">
        <f>IF(AC39&gt;=Reference!$H$2, Reference!$G$2, IF(AC39&gt;=Reference!$H$3, Reference!$G$3, IF(AC39&gt;=Reference!$H$4, Reference!$G$4, IF(AC39&gt;=Reference!$H$5, Reference!$G$5, ""))))</f>
        <v>Severe</v>
      </c>
      <c r="Q39" s="51" t="str">
        <f t="shared" si="6"/>
        <v>High</v>
      </c>
      <c r="R39" s="51" t="str">
        <f>IF(AE39&gt;=Reference!$D$2, Reference!$G$2, IF(AE39&gt;=Reference!$D$3, Reference!$E$3, IF(AE39&gt;=Reference!$D$4, Reference!$E$4, IF(AE39&gt;=Reference!$D$5, Reference!$E$5, ""))))</f>
        <v>Severe</v>
      </c>
      <c r="S39" s="52" t="s">
        <v>76</v>
      </c>
      <c r="T39" s="53" t="s">
        <v>566</v>
      </c>
      <c r="U39" s="44" t="s">
        <v>567</v>
      </c>
      <c r="V39" s="44" t="s">
        <v>568</v>
      </c>
      <c r="W39" s="44" t="s">
        <v>569</v>
      </c>
      <c r="Y39" s="62">
        <f>IF(H39=Reference!$A$12, Reference!$C$12, IF(H39=Reference!$A$11, Reference!$C$11, IF(H39=Reference!$A$10, Reference!$C$10, IF(H39=Reference!$A$9, Reference!$C$9, 0))))</f>
        <v>7</v>
      </c>
      <c r="Z39" s="62">
        <f>IF(J39=Reference!$A$20, Reference!$C$20, IF(J39=Reference!$A$19, Reference!$C$19, IF(J39=Reference!$A$18, Reference!$C$18, IF(J39=Reference!$A$17, Reference!$C$17, 0))))</f>
        <v>7</v>
      </c>
      <c r="AA39" s="62">
        <f>IF(L39=Reference!$A$28, Reference!$C$28, IF(L39=Reference!$A$27, Reference!$C$27, IF(L39=Reference!$A$26, Reference!$C$26, IF(L39=Reference!$A$25, Reference!$C$25, 0))))</f>
        <v>7</v>
      </c>
      <c r="AB39" s="62">
        <f>IF(N39=Reference!$A$36, Reference!$C$36, IF(N39=Reference!$A$35, Reference!$C$35, IF(N39=Reference!$A$34, Reference!$C$34, IF(N39=Reference!$A$33, Reference!$C$33, 0))))</f>
        <v>1</v>
      </c>
      <c r="AC39" s="62">
        <f>(Reference!$B$2*Y39 + Reference!$B$3*AA39 + Reference!$B$4*Z39 + Reference!$B$5*AB39)/4</f>
        <v>11.4375</v>
      </c>
      <c r="AD39" s="62">
        <f>IF(Q39=Reference!$C$41, Reference!$D$41, IF(Q39=Reference!$C$42, Reference!$D$42, IF(Q39=Reference!$C$43, Reference!$D$43, IF(Q39=Reference!$C$44, Reference!$D$44, 0))))</f>
        <v>10</v>
      </c>
      <c r="AE39" s="62">
        <f t="shared" si="7"/>
        <v>115.375</v>
      </c>
    </row>
    <row r="40" spans="1:31" ht="54.45" customHeight="1">
      <c r="A40" s="50" t="s">
        <v>570</v>
      </c>
      <c r="B40" s="44" t="s">
        <v>74</v>
      </c>
      <c r="C40" s="44" t="s">
        <v>117</v>
      </c>
      <c r="D40" s="45" t="s">
        <v>571</v>
      </c>
      <c r="E40" s="45" t="s">
        <v>572</v>
      </c>
      <c r="F40" s="44" t="s">
        <v>98</v>
      </c>
      <c r="G40" s="44" t="s">
        <v>573</v>
      </c>
      <c r="H40" s="44" t="s">
        <v>44</v>
      </c>
      <c r="I40" s="44" t="s">
        <v>574</v>
      </c>
      <c r="J40" s="44" t="s">
        <v>44</v>
      </c>
      <c r="K40" s="44" t="s">
        <v>575</v>
      </c>
      <c r="L40" s="44" t="s">
        <v>44</v>
      </c>
      <c r="M40" s="44" t="s">
        <v>576</v>
      </c>
      <c r="N40" s="44" t="s">
        <v>47</v>
      </c>
      <c r="O40" s="44" t="s">
        <v>577</v>
      </c>
      <c r="P40" s="51" t="str">
        <f>IF(AC40&gt;=Reference!$H$2, Reference!$G$2, IF(AC40&gt;=Reference!$H$3, Reference!$G$3, IF(AC40&gt;=Reference!$H$4, Reference!$G$4, IF(AC40&gt;=Reference!$H$5, Reference!$G$5, ""))))</f>
        <v>Major</v>
      </c>
      <c r="Q40" s="51" t="str">
        <f t="shared" si="6"/>
        <v>High</v>
      </c>
      <c r="R40" s="51" t="str">
        <f>IF(AE40&gt;=Reference!$D$2, Reference!$G$2, IF(AE40&gt;=Reference!$D$3, Reference!$E$3, IF(AE40&gt;=Reference!$D$4, Reference!$E$4, IF(AE40&gt;=Reference!$D$5, Reference!$E$5, ""))))</f>
        <v>High</v>
      </c>
      <c r="S40" s="52" t="s">
        <v>76</v>
      </c>
      <c r="T40" s="53" t="s">
        <v>578</v>
      </c>
      <c r="U40" s="44" t="s">
        <v>579</v>
      </c>
      <c r="V40" s="44" t="s">
        <v>580</v>
      </c>
      <c r="W40" s="44" t="s">
        <v>581</v>
      </c>
      <c r="Y40" s="62">
        <f>IF(H40=Reference!$A$12, Reference!$C$12, IF(H40=Reference!$A$11, Reference!$C$11, IF(H40=Reference!$A$10, Reference!$C$10, IF(H40=Reference!$A$9, Reference!$C$9, 0))))</f>
        <v>4</v>
      </c>
      <c r="Z40" s="62">
        <f>IF(J40=Reference!$A$20, Reference!$C$20, IF(J40=Reference!$A$19, Reference!$C$19, IF(J40=Reference!$A$18, Reference!$C$18, IF(J40=Reference!$A$17, Reference!$C$17, 0))))</f>
        <v>4</v>
      </c>
      <c r="AA40" s="62">
        <f>IF(L40=Reference!$A$28, Reference!$C$28, IF(L40=Reference!$A$27, Reference!$C$27, IF(L40=Reference!$A$26, Reference!$C$26, IF(L40=Reference!$A$25, Reference!$C$25, 0))))</f>
        <v>4</v>
      </c>
      <c r="AB40" s="62">
        <f>IF(N40=Reference!$A$36, Reference!$C$36, IF(N40=Reference!$A$35, Reference!$C$35, IF(N40=Reference!$A$34, Reference!$C$34, IF(N40=Reference!$A$33, Reference!$C$33, 0))))</f>
        <v>1</v>
      </c>
      <c r="AC40" s="62">
        <f>(Reference!$B$2*Y40 + Reference!$B$3*AA40 + Reference!$B$4*Z40 + Reference!$B$5*AB40)/4</f>
        <v>6.5625</v>
      </c>
      <c r="AD40" s="62">
        <f>IF(Q40=Reference!$C$41, Reference!$D$41, IF(Q40=Reference!$C$42, Reference!$D$42, IF(Q40=Reference!$C$43, Reference!$D$43, IF(Q40=Reference!$C$44, Reference!$D$44, 0))))</f>
        <v>10</v>
      </c>
      <c r="AE40" s="62">
        <f t="shared" si="7"/>
        <v>66.625</v>
      </c>
    </row>
    <row r="41" spans="1:31" ht="54.45" customHeight="1">
      <c r="A41" s="50" t="s">
        <v>582</v>
      </c>
      <c r="B41" s="44" t="s">
        <v>583</v>
      </c>
      <c r="C41" s="44" t="s">
        <v>117</v>
      </c>
      <c r="D41" s="45" t="s">
        <v>584</v>
      </c>
      <c r="E41" s="45" t="s">
        <v>585</v>
      </c>
      <c r="F41" s="44" t="s">
        <v>98</v>
      </c>
      <c r="G41" s="60" t="s">
        <v>586</v>
      </c>
      <c r="H41" s="44" t="s">
        <v>41</v>
      </c>
      <c r="I41" s="44" t="s">
        <v>587</v>
      </c>
      <c r="J41" s="44" t="s">
        <v>41</v>
      </c>
      <c r="K41" s="44" t="s">
        <v>588</v>
      </c>
      <c r="L41" s="44" t="s">
        <v>41</v>
      </c>
      <c r="M41" s="44" t="s">
        <v>589</v>
      </c>
      <c r="N41" s="44" t="s">
        <v>41</v>
      </c>
      <c r="O41" s="44" t="s">
        <v>590</v>
      </c>
      <c r="P41" s="51" t="str">
        <f>IF(AC41&gt;=Reference!$H$2, Reference!$G$2, IF(AC41&gt;=Reference!$H$3, Reference!$G$3, IF(AC41&gt;=Reference!$H$4, Reference!$G$4, IF(AC41&gt;=Reference!$H$5, Reference!$G$5, ""))))</f>
        <v>Severe</v>
      </c>
      <c r="Q41" s="51" t="str">
        <f t="shared" si="6"/>
        <v>High</v>
      </c>
      <c r="R41" s="51" t="str">
        <f>IF(AE41&gt;=Reference!$D$2, Reference!$G$2, IF(AE41&gt;=Reference!$D$3, Reference!$E$3, IF(AE41&gt;=Reference!$D$4, Reference!$E$4, IF(AE41&gt;=Reference!$D$5, Reference!$E$5, ""))))</f>
        <v>Severe</v>
      </c>
      <c r="S41" s="52" t="s">
        <v>76</v>
      </c>
      <c r="T41" s="60" t="s">
        <v>591</v>
      </c>
      <c r="U41" s="44" t="s">
        <v>592</v>
      </c>
      <c r="V41" s="44" t="s">
        <v>593</v>
      </c>
      <c r="W41" s="44" t="s">
        <v>594</v>
      </c>
      <c r="Y41" s="62">
        <f>IF(H41=Reference!$A$12, Reference!$C$12, IF(H41=Reference!$A$11, Reference!$C$11, IF(H41=Reference!$A$10, Reference!$C$10, IF(H41=Reference!$A$9, Reference!$C$9, 0))))</f>
        <v>7</v>
      </c>
      <c r="Z41" s="62">
        <f>IF(J41=Reference!$A$20, Reference!$C$20, IF(J41=Reference!$A$19, Reference!$C$19, IF(J41=Reference!$A$18, Reference!$C$18, IF(J41=Reference!$A$17, Reference!$C$17, 0))))</f>
        <v>7</v>
      </c>
      <c r="AA41" s="62">
        <f>IF(L41=Reference!$A$28, Reference!$C$28, IF(L41=Reference!$A$27, Reference!$C$27, IF(L41=Reference!$A$26, Reference!$C$26, IF(L41=Reference!$A$25, Reference!$C$25, 0))))</f>
        <v>7</v>
      </c>
      <c r="AB41" s="62">
        <f>IF(N41=Reference!$A$36, Reference!$C$36, IF(N41=Reference!$A$35, Reference!$C$35, IF(N41=Reference!$A$34, Reference!$C$34, IF(N41=Reference!$A$33, Reference!$C$33, 0))))</f>
        <v>7</v>
      </c>
      <c r="AC41" s="62">
        <f>(Reference!$B$2*Y41 + Reference!$B$3*AA41 + Reference!$B$4*Z41 + Reference!$B$5*AB41)/4</f>
        <v>11.8125</v>
      </c>
      <c r="AD41" s="62">
        <f>IF(Q41=Reference!$C$41, Reference!$D$41, IF(Q41=Reference!$C$42, Reference!$D$42, IF(Q41=Reference!$C$43, Reference!$D$43, IF(Q41=Reference!$C$44, Reference!$D$44, 0))))</f>
        <v>10</v>
      </c>
      <c r="AE41" s="62">
        <f t="shared" si="7"/>
        <v>119.125</v>
      </c>
    </row>
    <row r="42" spans="1:31" ht="54.45" customHeight="1">
      <c r="A42" s="50" t="s">
        <v>595</v>
      </c>
      <c r="B42" s="44" t="s">
        <v>347</v>
      </c>
      <c r="C42" s="44" t="s">
        <v>596</v>
      </c>
      <c r="D42" s="45" t="s">
        <v>597</v>
      </c>
      <c r="E42" s="45" t="s">
        <v>598</v>
      </c>
      <c r="F42" s="44" t="s">
        <v>98</v>
      </c>
      <c r="G42" s="44" t="s">
        <v>599</v>
      </c>
      <c r="H42" s="44" t="s">
        <v>41</v>
      </c>
      <c r="I42" s="44" t="s">
        <v>600</v>
      </c>
      <c r="J42" s="44" t="s">
        <v>41</v>
      </c>
      <c r="K42" s="54" t="s">
        <v>601</v>
      </c>
      <c r="L42" s="44" t="s">
        <v>41</v>
      </c>
      <c r="M42" s="44" t="s">
        <v>602</v>
      </c>
      <c r="N42" s="44" t="s">
        <v>41</v>
      </c>
      <c r="O42" s="44" t="s">
        <v>603</v>
      </c>
      <c r="P42" s="51" t="str">
        <f>IF(AC42&gt;=Reference!$H$2, Reference!$G$2, IF(AC42&gt;=Reference!$H$3, Reference!$G$3, IF(AC42&gt;=Reference!$H$4, Reference!$G$4, IF(AC42&gt;=Reference!$H$5, Reference!$G$5, ""))))</f>
        <v>Severe</v>
      </c>
      <c r="Q42" s="51" t="str">
        <f t="shared" si="6"/>
        <v>High</v>
      </c>
      <c r="R42" s="51" t="str">
        <f>IF(AE42&gt;=Reference!$D$2, Reference!$G$2, IF(AE42&gt;=Reference!$D$3, Reference!$E$3, IF(AE42&gt;=Reference!$D$4, Reference!$E$4, IF(AE42&gt;=Reference!$D$5, Reference!$E$5, ""))))</f>
        <v>Severe</v>
      </c>
      <c r="S42" s="52" t="s">
        <v>76</v>
      </c>
      <c r="T42" s="53" t="s">
        <v>604</v>
      </c>
      <c r="U42" s="44" t="s">
        <v>605</v>
      </c>
      <c r="V42" s="44" t="s">
        <v>606</v>
      </c>
      <c r="W42" s="44" t="s">
        <v>607</v>
      </c>
      <c r="Y42" s="62">
        <f>IF(H42=Reference!$A$12, Reference!$C$12, IF(H42=Reference!$A$11, Reference!$C$11, IF(H42=Reference!$A$10, Reference!$C$10, IF(H42=Reference!$A$9, Reference!$C$9, 0))))</f>
        <v>7</v>
      </c>
      <c r="Z42" s="62">
        <f>IF(J42=Reference!$A$20, Reference!$C$20, IF(J42=Reference!$A$19, Reference!$C$19, IF(J42=Reference!$A$18, Reference!$C$18, IF(J42=Reference!$A$17, Reference!$C$17, 0))))</f>
        <v>7</v>
      </c>
      <c r="AA42" s="62">
        <f>IF(L42=Reference!$A$28, Reference!$C$28, IF(L42=Reference!$A$27, Reference!$C$27, IF(L42=Reference!$A$26, Reference!$C$26, IF(L42=Reference!$A$25, Reference!$C$25, 0))))</f>
        <v>7</v>
      </c>
      <c r="AB42" s="62">
        <f>IF(N42=Reference!$A$36, Reference!$C$36, IF(N42=Reference!$A$35, Reference!$C$35, IF(N42=Reference!$A$34, Reference!$C$34, IF(N42=Reference!$A$33, Reference!$C$33, 0))))</f>
        <v>7</v>
      </c>
      <c r="AC42" s="62">
        <f>(Reference!$B$2*Y42 + Reference!$B$3*AA42 + Reference!$B$4*Z42 + Reference!$B$5*AB42)/4</f>
        <v>11.8125</v>
      </c>
      <c r="AD42" s="62">
        <f>IF(Q42=Reference!$C$41, Reference!$D$41, IF(Q42=Reference!$C$42, Reference!$D$42, IF(Q42=Reference!$C$43, Reference!$D$43, IF(Q42=Reference!$C$44, Reference!$D$44, 0))))</f>
        <v>10</v>
      </c>
      <c r="AE42" s="62">
        <f t="shared" si="7"/>
        <v>119.125</v>
      </c>
    </row>
    <row r="43" spans="1:31" ht="54.45" customHeight="1">
      <c r="A43" s="50" t="s">
        <v>608</v>
      </c>
      <c r="B43" s="44" t="s">
        <v>299</v>
      </c>
      <c r="C43" s="44" t="s">
        <v>300</v>
      </c>
      <c r="D43" s="45" t="s">
        <v>609</v>
      </c>
      <c r="E43" s="45" t="s">
        <v>585</v>
      </c>
      <c r="F43" s="44" t="s">
        <v>98</v>
      </c>
      <c r="G43" s="44" t="s">
        <v>610</v>
      </c>
      <c r="H43" s="44" t="s">
        <v>47</v>
      </c>
      <c r="I43" s="44" t="s">
        <v>611</v>
      </c>
      <c r="J43" s="44" t="s">
        <v>41</v>
      </c>
      <c r="K43" s="54" t="s">
        <v>612</v>
      </c>
      <c r="L43" s="44" t="s">
        <v>44</v>
      </c>
      <c r="M43" s="44" t="s">
        <v>613</v>
      </c>
      <c r="N43" s="44" t="s">
        <v>41</v>
      </c>
      <c r="O43" s="44" t="s">
        <v>614</v>
      </c>
      <c r="P43" s="51" t="str">
        <f>IF(AC43&gt;=Reference!$H$2, Reference!$G$2, IF(AC43&gt;=Reference!$H$3, Reference!$G$3, IF(AC43&gt;=Reference!$H$4, Reference!$G$4, IF(AC43&gt;=Reference!$H$5, Reference!$G$5, ""))))</f>
        <v>Moderate</v>
      </c>
      <c r="Q43" s="51" t="str">
        <f t="shared" si="6"/>
        <v>High</v>
      </c>
      <c r="R43" s="51" t="str">
        <f>IF(AE43&gt;=Reference!$D$2, Reference!$G$2, IF(AE43&gt;=Reference!$D$3, Reference!$E$3, IF(AE43&gt;=Reference!$D$4, Reference!$E$4, IF(AE43&gt;=Reference!$D$5, Reference!$E$5, ""))))</f>
        <v>Medium</v>
      </c>
      <c r="S43" s="52" t="s">
        <v>76</v>
      </c>
      <c r="T43" s="53" t="s">
        <v>615</v>
      </c>
      <c r="U43" s="44" t="s">
        <v>616</v>
      </c>
      <c r="V43" s="44" t="s">
        <v>617</v>
      </c>
      <c r="W43" s="44" t="s">
        <v>618</v>
      </c>
      <c r="Y43" s="62">
        <f>IF(H43=Reference!$A$12, Reference!$C$12, IF(H43=Reference!$A$11, Reference!$C$11, IF(H43=Reference!$A$10, Reference!$C$10, IF(H43=Reference!$A$9, Reference!$C$9, 0))))</f>
        <v>1</v>
      </c>
      <c r="Z43" s="62">
        <f>IF(J43=Reference!$A$20, Reference!$C$20, IF(J43=Reference!$A$19, Reference!$C$19, IF(J43=Reference!$A$18, Reference!$C$18, IF(J43=Reference!$A$17, Reference!$C$17, 0))))</f>
        <v>7</v>
      </c>
      <c r="AA43" s="62">
        <f>IF(L43=Reference!$A$28, Reference!$C$28, IF(L43=Reference!$A$27, Reference!$C$27, IF(L43=Reference!$A$26, Reference!$C$26, IF(L43=Reference!$A$25, Reference!$C$25, 0))))</f>
        <v>4</v>
      </c>
      <c r="AB43" s="62">
        <f>IF(N43=Reference!$A$36, Reference!$C$36, IF(N43=Reference!$A$35, Reference!$C$35, IF(N43=Reference!$A$34, Reference!$C$34, IF(N43=Reference!$A$33, Reference!$C$33, 0))))</f>
        <v>7</v>
      </c>
      <c r="AC43" s="62">
        <f>(Reference!$B$2*Y43 + Reference!$B$3*AA43 + Reference!$B$4*Z43 + Reference!$B$5*AB43)/4</f>
        <v>3.5625</v>
      </c>
      <c r="AD43" s="62">
        <f>IF(Q43=Reference!$C$41, Reference!$D$41, IF(Q43=Reference!$C$42, Reference!$D$42, IF(Q43=Reference!$C$43, Reference!$D$43, IF(Q43=Reference!$C$44, Reference!$D$44, 0))))</f>
        <v>10</v>
      </c>
      <c r="AE43" s="62">
        <f t="shared" si="7"/>
        <v>36.625</v>
      </c>
    </row>
    <row r="44" spans="1:31" ht="54.45" customHeight="1">
      <c r="A44" s="50" t="s">
        <v>619</v>
      </c>
      <c r="B44" s="44" t="s">
        <v>71</v>
      </c>
      <c r="C44" s="44" t="s">
        <v>117</v>
      </c>
      <c r="D44" s="45" t="s">
        <v>620</v>
      </c>
      <c r="E44" s="45" t="s">
        <v>621</v>
      </c>
      <c r="F44" s="44" t="s">
        <v>98</v>
      </c>
      <c r="G44" s="44" t="s">
        <v>622</v>
      </c>
      <c r="H44" s="44" t="s">
        <v>41</v>
      </c>
      <c r="I44" s="44" t="s">
        <v>623</v>
      </c>
      <c r="J44" s="44" t="s">
        <v>41</v>
      </c>
      <c r="K44" s="44" t="s">
        <v>624</v>
      </c>
      <c r="L44" s="44" t="s">
        <v>41</v>
      </c>
      <c r="M44" s="44" t="s">
        <v>625</v>
      </c>
      <c r="N44" s="44" t="s">
        <v>47</v>
      </c>
      <c r="O44" s="44" t="s">
        <v>626</v>
      </c>
      <c r="P44" s="51" t="str">
        <f>IF(AC44&gt;=Reference!$H$2, Reference!$G$2, IF(AC44&gt;=Reference!$H$3, Reference!$G$3, IF(AC44&gt;=Reference!$H$4, Reference!$G$4, IF(AC44&gt;=Reference!$H$5, Reference!$G$5, ""))))</f>
        <v>Severe</v>
      </c>
      <c r="Q44" s="51" t="str">
        <f t="shared" si="6"/>
        <v>High</v>
      </c>
      <c r="R44" s="51" t="str">
        <f>IF(AE44&gt;=Reference!$D$2, Reference!$G$2, IF(AE44&gt;=Reference!$D$3, Reference!$E$3, IF(AE44&gt;=Reference!$D$4, Reference!$E$4, IF(AE44&gt;=Reference!$D$5, Reference!$E$5, ""))))</f>
        <v>Severe</v>
      </c>
      <c r="S44" s="52" t="s">
        <v>76</v>
      </c>
      <c r="T44" s="53" t="s">
        <v>627</v>
      </c>
      <c r="U44" s="44" t="s">
        <v>628</v>
      </c>
      <c r="V44" s="44" t="s">
        <v>629</v>
      </c>
      <c r="W44" s="44" t="s">
        <v>630</v>
      </c>
      <c r="Y44" s="62">
        <f>IF(H44=Reference!$A$12, Reference!$C$12, IF(H44=Reference!$A$11, Reference!$C$11, IF(H44=Reference!$A$10, Reference!$C$10, IF(H44=Reference!$A$9, Reference!$C$9, 0))))</f>
        <v>7</v>
      </c>
      <c r="Z44" s="62">
        <f>IF(J44=Reference!$A$20, Reference!$C$20, IF(J44=Reference!$A$19, Reference!$C$19, IF(J44=Reference!$A$18, Reference!$C$18, IF(J44=Reference!$A$17, Reference!$C$17, 0))))</f>
        <v>7</v>
      </c>
      <c r="AA44" s="62">
        <f>IF(L44=Reference!$A$28, Reference!$C$28, IF(L44=Reference!$A$27, Reference!$C$27, IF(L44=Reference!$A$26, Reference!$C$26, IF(L44=Reference!$A$25, Reference!$C$25, 0))))</f>
        <v>7</v>
      </c>
      <c r="AB44" s="62">
        <f>IF(N44=Reference!$A$36, Reference!$C$36, IF(N44=Reference!$A$35, Reference!$C$35, IF(N44=Reference!$A$34, Reference!$C$34, IF(N44=Reference!$A$33, Reference!$C$33, 0))))</f>
        <v>1</v>
      </c>
      <c r="AC44" s="62">
        <f>(Reference!$B$2*Y44 + Reference!$B$3*AA44 + Reference!$B$4*Z44 + Reference!$B$5*AB44)/4</f>
        <v>11.4375</v>
      </c>
      <c r="AD44" s="62">
        <f>IF(Q44=Reference!$C$41, Reference!$D$41, IF(Q44=Reference!$C$42, Reference!$D$42, IF(Q44=Reference!$C$43, Reference!$D$43, IF(Q44=Reference!$C$44, Reference!$D$44, 0))))</f>
        <v>10</v>
      </c>
      <c r="AE44" s="62">
        <f t="shared" si="7"/>
        <v>115.375</v>
      </c>
    </row>
    <row r="45" spans="1:31" ht="54.45" customHeight="1">
      <c r="A45" s="50" t="s">
        <v>631</v>
      </c>
      <c r="B45" s="44" t="s">
        <v>79</v>
      </c>
      <c r="C45" s="44" t="s">
        <v>226</v>
      </c>
      <c r="D45" s="58" t="s">
        <v>632</v>
      </c>
      <c r="E45" s="45" t="s">
        <v>585</v>
      </c>
      <c r="F45" s="44" t="s">
        <v>98</v>
      </c>
      <c r="G45" s="44" t="s">
        <v>633</v>
      </c>
      <c r="H45" s="44" t="s">
        <v>41</v>
      </c>
      <c r="I45" s="44" t="s">
        <v>634</v>
      </c>
      <c r="J45" s="44" t="s">
        <v>41</v>
      </c>
      <c r="K45" s="44" t="s">
        <v>635</v>
      </c>
      <c r="L45" s="44" t="s">
        <v>41</v>
      </c>
      <c r="M45" s="44" t="s">
        <v>636</v>
      </c>
      <c r="N45" s="44" t="s">
        <v>47</v>
      </c>
      <c r="O45" s="44" t="s">
        <v>245</v>
      </c>
      <c r="P45" s="51" t="str">
        <f>IF(AC45&gt;=Reference!$H$2, Reference!$G$2, IF(AC45&gt;=Reference!$H$3, Reference!$G$3, IF(AC45&gt;=Reference!$H$4, Reference!$G$4, IF(AC45&gt;=Reference!$H$5, Reference!$G$5, ""))))</f>
        <v>Severe</v>
      </c>
      <c r="Q45" s="51" t="str">
        <f t="shared" si="6"/>
        <v>High</v>
      </c>
      <c r="R45" s="51" t="str">
        <f>IF(AE45&gt;=Reference!$D$2, Reference!$G$2, IF(AE45&gt;=Reference!$D$3, Reference!$E$3, IF(AE45&gt;=Reference!$D$4, Reference!$E$4, IF(AE45&gt;=Reference!$D$5, Reference!$E$5, ""))))</f>
        <v>Severe</v>
      </c>
      <c r="S45" s="52" t="s">
        <v>76</v>
      </c>
      <c r="T45" s="61" t="s">
        <v>637</v>
      </c>
      <c r="U45" s="44" t="s">
        <v>638</v>
      </c>
      <c r="V45" s="44" t="s">
        <v>639</v>
      </c>
      <c r="W45" s="44" t="s">
        <v>640</v>
      </c>
      <c r="Y45" s="62">
        <f>IF(H45=Reference!$A$12, Reference!$C$12, IF(H45=Reference!$A$11, Reference!$C$11, IF(H45=Reference!$A$10, Reference!$C$10, IF(H45=Reference!$A$9, Reference!$C$9, 0))))</f>
        <v>7</v>
      </c>
      <c r="Z45" s="62">
        <f>IF(J45=Reference!$A$20, Reference!$C$20, IF(J45=Reference!$A$19, Reference!$C$19, IF(J45=Reference!$A$18, Reference!$C$18, IF(J45=Reference!$A$17, Reference!$C$17, 0))))</f>
        <v>7</v>
      </c>
      <c r="AA45" s="62">
        <f>IF(L45=Reference!$A$28, Reference!$C$28, IF(L45=Reference!$A$27, Reference!$C$27, IF(L45=Reference!$A$26, Reference!$C$26, IF(L45=Reference!$A$25, Reference!$C$25, 0))))</f>
        <v>7</v>
      </c>
      <c r="AB45" s="62">
        <f>IF(N45=Reference!$A$36, Reference!$C$36, IF(N45=Reference!$A$35, Reference!$C$35, IF(N45=Reference!$A$34, Reference!$C$34, IF(N45=Reference!$A$33, Reference!$C$33, 0))))</f>
        <v>1</v>
      </c>
      <c r="AC45" s="62">
        <f>(Reference!$B$2*Y45 + Reference!$B$3*AA45 + Reference!$B$4*Z45 + Reference!$B$5*AB45)/4</f>
        <v>11.4375</v>
      </c>
      <c r="AD45" s="62">
        <f>IF(Q45=Reference!$C$41, Reference!$D$41, IF(Q45=Reference!$C$42, Reference!$D$42, IF(Q45=Reference!$C$43, Reference!$D$43, IF(Q45=Reference!$C$44, Reference!$D$44, 0))))</f>
        <v>10</v>
      </c>
      <c r="AE45" s="62">
        <f t="shared" si="7"/>
        <v>115.375</v>
      </c>
    </row>
    <row r="46" spans="1:31" ht="54.45" customHeight="1">
      <c r="A46" s="50" t="s">
        <v>641</v>
      </c>
      <c r="B46" s="44" t="s">
        <v>71</v>
      </c>
      <c r="C46" s="44" t="s">
        <v>117</v>
      </c>
      <c r="D46" s="45" t="s">
        <v>642</v>
      </c>
      <c r="E46" s="45" t="s">
        <v>643</v>
      </c>
      <c r="F46" s="44" t="s">
        <v>102</v>
      </c>
      <c r="G46" s="44" t="s">
        <v>644</v>
      </c>
      <c r="H46" s="44" t="s">
        <v>41</v>
      </c>
      <c r="I46" s="44" t="s">
        <v>645</v>
      </c>
      <c r="J46" s="44" t="s">
        <v>44</v>
      </c>
      <c r="K46" s="44" t="s">
        <v>646</v>
      </c>
      <c r="L46" s="44" t="s">
        <v>41</v>
      </c>
      <c r="M46" s="44" t="s">
        <v>647</v>
      </c>
      <c r="N46" s="44" t="s">
        <v>47</v>
      </c>
      <c r="O46" s="44" t="s">
        <v>436</v>
      </c>
      <c r="P46" s="51" t="str">
        <f>IF(AC46&gt;=Reference!$H$2, Reference!$G$2, IF(AC46&gt;=Reference!$H$3, Reference!$G$3, IF(AC46&gt;=Reference!$H$4, Reference!$G$4, IF(AC46&gt;=Reference!$H$5, Reference!$G$5, ""))))</f>
        <v>Severe</v>
      </c>
      <c r="Q46" s="51" t="str">
        <f t="shared" si="6"/>
        <v>Low</v>
      </c>
      <c r="R46" s="51" t="str">
        <f>IF(AE46&gt;=Reference!$D$2, Reference!$G$2, IF(AE46&gt;=Reference!$D$3, Reference!$E$3, IF(AE46&gt;=Reference!$D$4, Reference!$E$4, IF(AE46&gt;=Reference!$D$5, Reference!$E$5, ""))))</f>
        <v>Medium</v>
      </c>
      <c r="S46" s="52" t="s">
        <v>76</v>
      </c>
      <c r="T46" s="53" t="s">
        <v>648</v>
      </c>
      <c r="U46" s="44" t="s">
        <v>649</v>
      </c>
      <c r="V46" s="44" t="s">
        <v>650</v>
      </c>
      <c r="W46" s="44" t="s">
        <v>651</v>
      </c>
      <c r="Y46" s="62">
        <f>IF(H46=Reference!$A$12, Reference!$C$12, IF(H46=Reference!$A$11, Reference!$C$11, IF(H46=Reference!$A$10, Reference!$C$10, IF(H46=Reference!$A$9, Reference!$C$9, 0))))</f>
        <v>7</v>
      </c>
      <c r="Z46" s="62">
        <f>IF(J46=Reference!$A$20, Reference!$C$20, IF(J46=Reference!$A$19, Reference!$C$19, IF(J46=Reference!$A$18, Reference!$C$18, IF(J46=Reference!$A$17, Reference!$C$17, 0))))</f>
        <v>4</v>
      </c>
      <c r="AA46" s="62">
        <f>IF(L46=Reference!$A$28, Reference!$C$28, IF(L46=Reference!$A$27, Reference!$C$27, IF(L46=Reference!$A$26, Reference!$C$26, IF(L46=Reference!$A$25, Reference!$C$25, 0))))</f>
        <v>7</v>
      </c>
      <c r="AB46" s="62">
        <f>IF(N46=Reference!$A$36, Reference!$C$36, IF(N46=Reference!$A$35, Reference!$C$35, IF(N46=Reference!$A$34, Reference!$C$34, IF(N46=Reference!$A$33, Reference!$C$33, 0))))</f>
        <v>1</v>
      </c>
      <c r="AC46" s="62">
        <f>(Reference!$B$2*Y46 + Reference!$B$3*AA46 + Reference!$B$4*Z46 + Reference!$B$5*AB46)/4</f>
        <v>11.0625</v>
      </c>
      <c r="AD46" s="62">
        <f>IF(Q46=Reference!$C$41, Reference!$D$41, IF(Q46=Reference!$C$42, Reference!$D$42, IF(Q46=Reference!$C$43, Reference!$D$43, IF(Q46=Reference!$C$44, Reference!$D$44, 0))))</f>
        <v>4</v>
      </c>
      <c r="AE46" s="62">
        <f t="shared" si="7"/>
        <v>45.25</v>
      </c>
    </row>
    <row r="47" spans="1:31" ht="54.45" customHeight="1">
      <c r="A47" s="50" t="s">
        <v>652</v>
      </c>
      <c r="B47" s="44" t="s">
        <v>79</v>
      </c>
      <c r="C47" s="44" t="s">
        <v>226</v>
      </c>
      <c r="D47" s="45" t="s">
        <v>653</v>
      </c>
      <c r="E47" s="45" t="s">
        <v>654</v>
      </c>
      <c r="F47" s="44" t="s">
        <v>102</v>
      </c>
      <c r="G47" s="44" t="s">
        <v>655</v>
      </c>
      <c r="H47" s="44" t="s">
        <v>41</v>
      </c>
      <c r="I47" s="44" t="s">
        <v>656</v>
      </c>
      <c r="J47" s="44" t="s">
        <v>44</v>
      </c>
      <c r="K47" s="44" t="s">
        <v>657</v>
      </c>
      <c r="L47" s="44" t="s">
        <v>44</v>
      </c>
      <c r="M47" s="44" t="s">
        <v>658</v>
      </c>
      <c r="N47" s="44" t="s">
        <v>47</v>
      </c>
      <c r="O47" s="44" t="s">
        <v>436</v>
      </c>
      <c r="P47" s="51" t="str">
        <f>IF(AC47&gt;=Reference!$H$2, Reference!$G$2, IF(AC47&gt;=Reference!$H$3, Reference!$G$3, IF(AC47&gt;=Reference!$H$4, Reference!$G$4, IF(AC47&gt;=Reference!$H$5, Reference!$G$5, ""))))</f>
        <v>Severe</v>
      </c>
      <c r="Q47" s="51" t="str">
        <f t="shared" si="6"/>
        <v>Low</v>
      </c>
      <c r="R47" s="51" t="str">
        <f>IF(AE47&gt;=Reference!$D$2, Reference!$G$2, IF(AE47&gt;=Reference!$D$3, Reference!$E$3, IF(AE47&gt;=Reference!$D$4, Reference!$E$4, IF(AE47&gt;=Reference!$D$5, Reference!$E$5, ""))))</f>
        <v>Medium</v>
      </c>
      <c r="S47" s="52" t="s">
        <v>76</v>
      </c>
      <c r="T47" s="53" t="s">
        <v>659</v>
      </c>
      <c r="U47" s="44" t="s">
        <v>660</v>
      </c>
      <c r="V47" s="44" t="s">
        <v>661</v>
      </c>
      <c r="W47" s="44" t="s">
        <v>662</v>
      </c>
      <c r="Y47" s="62">
        <f>IF(H47=Reference!$A$12, Reference!$C$12, IF(H47=Reference!$A$11, Reference!$C$11, IF(H47=Reference!$A$10, Reference!$C$10, IF(H47=Reference!$A$9, Reference!$C$9, 0))))</f>
        <v>7</v>
      </c>
      <c r="Z47" s="62">
        <f>IF(J47=Reference!$A$20, Reference!$C$20, IF(J47=Reference!$A$19, Reference!$C$19, IF(J47=Reference!$A$18, Reference!$C$18, IF(J47=Reference!$A$17, Reference!$C$17, 0))))</f>
        <v>4</v>
      </c>
      <c r="AA47" s="62">
        <f>IF(L47=Reference!$A$28, Reference!$C$28, IF(L47=Reference!$A$27, Reference!$C$27, IF(L47=Reference!$A$26, Reference!$C$26, IF(L47=Reference!$A$25, Reference!$C$25, 0))))</f>
        <v>4</v>
      </c>
      <c r="AB47" s="62">
        <f>IF(N47=Reference!$A$36, Reference!$C$36, IF(N47=Reference!$A$35, Reference!$C$35, IF(N47=Reference!$A$34, Reference!$C$34, IF(N47=Reference!$A$33, Reference!$C$33, 0))))</f>
        <v>1</v>
      </c>
      <c r="AC47" s="62">
        <f>(Reference!$B$2*Y47 + Reference!$B$3*AA47 + Reference!$B$4*Z47 + Reference!$B$5*AB47)/4</f>
        <v>10.3125</v>
      </c>
      <c r="AD47" s="62">
        <f>IF(Q47=Reference!$C$41, Reference!$D$41, IF(Q47=Reference!$C$42, Reference!$D$42, IF(Q47=Reference!$C$43, Reference!$D$43, IF(Q47=Reference!$C$44, Reference!$D$44, 0))))</f>
        <v>4</v>
      </c>
      <c r="AE47" s="62">
        <f t="shared" si="7"/>
        <v>42.25</v>
      </c>
    </row>
    <row r="48" spans="1:31" ht="54.45" customHeight="1">
      <c r="A48" s="50" t="s">
        <v>663</v>
      </c>
      <c r="B48" s="44" t="s">
        <v>67</v>
      </c>
      <c r="C48" s="44" t="s">
        <v>117</v>
      </c>
      <c r="D48" s="45" t="s">
        <v>664</v>
      </c>
      <c r="E48" s="45" t="s">
        <v>665</v>
      </c>
      <c r="F48" s="44" t="s">
        <v>98</v>
      </c>
      <c r="G48" s="44" t="s">
        <v>666</v>
      </c>
      <c r="H48" s="44" t="s">
        <v>41</v>
      </c>
      <c r="I48" s="44" t="s">
        <v>667</v>
      </c>
      <c r="J48" s="44" t="s">
        <v>41</v>
      </c>
      <c r="K48" s="44" t="s">
        <v>668</v>
      </c>
      <c r="L48" s="44" t="s">
        <v>41</v>
      </c>
      <c r="M48" s="44" t="s">
        <v>669</v>
      </c>
      <c r="N48" s="44" t="s">
        <v>47</v>
      </c>
      <c r="O48" s="44" t="s">
        <v>245</v>
      </c>
      <c r="P48" s="51" t="str">
        <f>IF(AC48&gt;=Reference!$H$2, Reference!$G$2, IF(AC48&gt;=Reference!$H$3, Reference!$G$3, IF(AC48&gt;=Reference!$H$4, Reference!$G$4, IF(AC48&gt;=Reference!$H$5, Reference!$G$5, ""))))</f>
        <v>Severe</v>
      </c>
      <c r="Q48" s="51" t="str">
        <f t="shared" si="6"/>
        <v>High</v>
      </c>
      <c r="R48" s="51" t="str">
        <f>IF(AE48&gt;=Reference!$D$2, Reference!$G$2, IF(AE48&gt;=Reference!$D$3, Reference!$E$3, IF(AE48&gt;=Reference!$D$4, Reference!$E$4, IF(AE48&gt;=Reference!$D$5, Reference!$E$5, ""))))</f>
        <v>Severe</v>
      </c>
      <c r="S48" s="52" t="s">
        <v>76</v>
      </c>
      <c r="T48" s="53" t="s">
        <v>670</v>
      </c>
      <c r="U48" s="44" t="s">
        <v>671</v>
      </c>
      <c r="V48" s="44" t="s">
        <v>672</v>
      </c>
      <c r="W48" s="44" t="s">
        <v>673</v>
      </c>
      <c r="Y48" s="62">
        <f>IF(H48=Reference!$A$12, Reference!$C$12, IF(H48=Reference!$A$11, Reference!$C$11, IF(H48=Reference!$A$10, Reference!$C$10, IF(H48=Reference!$A$9, Reference!$C$9, 0))))</f>
        <v>7</v>
      </c>
      <c r="Z48" s="62">
        <f>IF(J48=Reference!$A$20, Reference!$C$20, IF(J48=Reference!$A$19, Reference!$C$19, IF(J48=Reference!$A$18, Reference!$C$18, IF(J48=Reference!$A$17, Reference!$C$17, 0))))</f>
        <v>7</v>
      </c>
      <c r="AA48" s="62">
        <f>IF(L48=Reference!$A$28, Reference!$C$28, IF(L48=Reference!$A$27, Reference!$C$27, IF(L48=Reference!$A$26, Reference!$C$26, IF(L48=Reference!$A$25, Reference!$C$25, 0))))</f>
        <v>7</v>
      </c>
      <c r="AB48" s="62">
        <f>IF(N48=Reference!$A$36, Reference!$C$36, IF(N48=Reference!$A$35, Reference!$C$35, IF(N48=Reference!$A$34, Reference!$C$34, IF(N48=Reference!$A$33, Reference!$C$33, 0))))</f>
        <v>1</v>
      </c>
      <c r="AC48" s="62">
        <f>(Reference!$B$2*Y48 + Reference!$B$3*AA48 + Reference!$B$4*Z48 + Reference!$B$5*AB48)/4</f>
        <v>11.4375</v>
      </c>
      <c r="AD48" s="62">
        <f>IF(Q48=Reference!$C$41, Reference!$D$41, IF(Q48=Reference!$C$42, Reference!$D$42, IF(Q48=Reference!$C$43, Reference!$D$43, IF(Q48=Reference!$C$44, Reference!$D$44, 0))))</f>
        <v>10</v>
      </c>
      <c r="AE48" s="62">
        <f t="shared" si="7"/>
        <v>115.375</v>
      </c>
    </row>
    <row r="49" spans="1:31" ht="54.45" customHeight="1">
      <c r="A49" s="50" t="s">
        <v>674</v>
      </c>
      <c r="B49" s="44" t="s">
        <v>79</v>
      </c>
      <c r="C49" s="44" t="s">
        <v>226</v>
      </c>
      <c r="D49" s="45" t="s">
        <v>675</v>
      </c>
      <c r="E49" s="45" t="s">
        <v>676</v>
      </c>
      <c r="F49" s="44" t="s">
        <v>100</v>
      </c>
      <c r="G49" s="44" t="s">
        <v>677</v>
      </c>
      <c r="H49" s="44" t="s">
        <v>41</v>
      </c>
      <c r="I49" s="44" t="s">
        <v>678</v>
      </c>
      <c r="J49" s="44" t="s">
        <v>41</v>
      </c>
      <c r="K49" s="44" t="s">
        <v>679</v>
      </c>
      <c r="L49" s="44" t="s">
        <v>41</v>
      </c>
      <c r="M49" s="44" t="s">
        <v>680</v>
      </c>
      <c r="N49" s="44" t="s">
        <v>47</v>
      </c>
      <c r="O49" s="44" t="s">
        <v>436</v>
      </c>
      <c r="P49" s="51" t="str">
        <f>IF(AC49&gt;=Reference!$H$2, Reference!$G$2, IF(AC49&gt;=Reference!$H$3, Reference!$G$3, IF(AC49&gt;=Reference!$H$4, Reference!$G$4, IF(AC49&gt;=Reference!$H$5, Reference!$G$5, ""))))</f>
        <v>Severe</v>
      </c>
      <c r="Q49" s="51" t="str">
        <f t="shared" si="6"/>
        <v>Medium</v>
      </c>
      <c r="R49" s="51" t="str">
        <f>IF(AE49&gt;=Reference!$D$2, Reference!$G$2, IF(AE49&gt;=Reference!$D$3, Reference!$E$3, IF(AE49&gt;=Reference!$D$4, Reference!$E$4, IF(AE49&gt;=Reference!$D$5, Reference!$E$5, ""))))</f>
        <v>High</v>
      </c>
      <c r="S49" s="52" t="s">
        <v>76</v>
      </c>
      <c r="T49" s="53" t="s">
        <v>681</v>
      </c>
      <c r="U49" s="44" t="s">
        <v>682</v>
      </c>
      <c r="V49" s="44" t="s">
        <v>683</v>
      </c>
      <c r="W49" s="44" t="s">
        <v>684</v>
      </c>
      <c r="Y49" s="62">
        <f>IF(H49=Reference!$A$12, Reference!$C$12, IF(H49=Reference!$A$11, Reference!$C$11, IF(H49=Reference!$A$10, Reference!$C$10, IF(H49=Reference!$A$9, Reference!$C$9, 0))))</f>
        <v>7</v>
      </c>
      <c r="Z49" s="62">
        <f>IF(J49=Reference!$A$20, Reference!$C$20, IF(J49=Reference!$A$19, Reference!$C$19, IF(J49=Reference!$A$18, Reference!$C$18, IF(J49=Reference!$A$17, Reference!$C$17, 0))))</f>
        <v>7</v>
      </c>
      <c r="AA49" s="62">
        <f>IF(L49=Reference!$A$28, Reference!$C$28, IF(L49=Reference!$A$27, Reference!$C$27, IF(L49=Reference!$A$26, Reference!$C$26, IF(L49=Reference!$A$25, Reference!$C$25, 0))))</f>
        <v>7</v>
      </c>
      <c r="AB49" s="62">
        <f>IF(N49=Reference!$A$36, Reference!$C$36, IF(N49=Reference!$A$35, Reference!$C$35, IF(N49=Reference!$A$34, Reference!$C$34, IF(N49=Reference!$A$33, Reference!$C$33, 0))))</f>
        <v>1</v>
      </c>
      <c r="AC49" s="62">
        <f>(Reference!$B$2*Y49 + Reference!$B$3*AA49 + Reference!$B$4*Z49 + Reference!$B$5*AB49)/4</f>
        <v>11.4375</v>
      </c>
      <c r="AD49" s="62">
        <f>IF(Q49=Reference!$C$41, Reference!$D$41, IF(Q49=Reference!$C$42, Reference!$D$42, IF(Q49=Reference!$C$43, Reference!$D$43, IF(Q49=Reference!$C$44, Reference!$D$44, 0))))</f>
        <v>7</v>
      </c>
      <c r="AE49" s="62">
        <f t="shared" si="7"/>
        <v>81.0625</v>
      </c>
    </row>
    <row r="50" spans="1:31" ht="54.45" customHeight="1">
      <c r="A50" s="50" t="s">
        <v>685</v>
      </c>
      <c r="B50" s="44" t="s">
        <v>347</v>
      </c>
      <c r="C50" s="44" t="s">
        <v>686</v>
      </c>
      <c r="D50" s="45" t="s">
        <v>687</v>
      </c>
      <c r="E50" s="45" t="s">
        <v>688</v>
      </c>
      <c r="F50" s="44" t="s">
        <v>98</v>
      </c>
      <c r="G50" s="44" t="s">
        <v>689</v>
      </c>
      <c r="H50" s="44" t="s">
        <v>41</v>
      </c>
      <c r="I50" s="44" t="s">
        <v>690</v>
      </c>
      <c r="J50" s="44" t="s">
        <v>41</v>
      </c>
      <c r="K50" s="54" t="s">
        <v>691</v>
      </c>
      <c r="L50" s="44" t="s">
        <v>41</v>
      </c>
      <c r="M50" s="54" t="s">
        <v>692</v>
      </c>
      <c r="N50" s="44" t="s">
        <v>41</v>
      </c>
      <c r="O50" s="54" t="s">
        <v>693</v>
      </c>
      <c r="P50" s="51" t="str">
        <f>IF(AC50&gt;=Reference!$H$2, Reference!$G$2, IF(AC50&gt;=Reference!$H$3, Reference!$G$3, IF(AC50&gt;=Reference!$H$4, Reference!$G$4, IF(AC50&gt;=Reference!$H$5, Reference!$G$5, ""))))</f>
        <v>Severe</v>
      </c>
      <c r="Q50" s="51" t="str">
        <f t="shared" si="6"/>
        <v>High</v>
      </c>
      <c r="R50" s="51" t="str">
        <f>IF(AE50&gt;=Reference!$D$2, Reference!$G$2, IF(AE50&gt;=Reference!$D$3, Reference!$E$3, IF(AE50&gt;=Reference!$D$4, Reference!$E$4, IF(AE50&gt;=Reference!$D$5, Reference!$E$5, ""))))</f>
        <v>Severe</v>
      </c>
      <c r="S50" s="52" t="s">
        <v>76</v>
      </c>
      <c r="T50" s="53" t="s">
        <v>694</v>
      </c>
      <c r="U50" s="44" t="s">
        <v>695</v>
      </c>
      <c r="V50" s="44" t="s">
        <v>696</v>
      </c>
      <c r="W50" s="44" t="s">
        <v>697</v>
      </c>
      <c r="Y50" s="62">
        <f>IF(H50=Reference!$A$12, Reference!$C$12, IF(H50=Reference!$A$11, Reference!$C$11, IF(H50=Reference!$A$10, Reference!$C$10, IF(H50=Reference!$A$9, Reference!$C$9, 0))))</f>
        <v>7</v>
      </c>
      <c r="Z50" s="62">
        <f>IF(J50=Reference!$A$20, Reference!$C$20, IF(J50=Reference!$A$19, Reference!$C$19, IF(J50=Reference!$A$18, Reference!$C$18, IF(J50=Reference!$A$17, Reference!$C$17, 0))))</f>
        <v>7</v>
      </c>
      <c r="AA50" s="62">
        <f>IF(L50=Reference!$A$28, Reference!$C$28, IF(L50=Reference!$A$27, Reference!$C$27, IF(L50=Reference!$A$26, Reference!$C$26, IF(L50=Reference!$A$25, Reference!$C$25, 0))))</f>
        <v>7</v>
      </c>
      <c r="AB50" s="62">
        <f>IF(N50=Reference!$A$36, Reference!$C$36, IF(N50=Reference!$A$35, Reference!$C$35, IF(N50=Reference!$A$34, Reference!$C$34, IF(N50=Reference!$A$33, Reference!$C$33, 0))))</f>
        <v>7</v>
      </c>
      <c r="AC50" s="62">
        <f>(Reference!$B$2*Y50 + Reference!$B$3*AA50 + Reference!$B$4*Z50 + Reference!$B$5*AB50)/4</f>
        <v>11.8125</v>
      </c>
      <c r="AD50" s="62">
        <f>IF(Q50=Reference!$C$41, Reference!$D$41, IF(Q50=Reference!$C$42, Reference!$D$42, IF(Q50=Reference!$C$43, Reference!$D$43, IF(Q50=Reference!$C$44, Reference!$D$44, 0))))</f>
        <v>10</v>
      </c>
      <c r="AE50" s="62">
        <f t="shared" si="7"/>
        <v>119.125</v>
      </c>
    </row>
    <row r="51" spans="1:31" ht="54.45" customHeight="1">
      <c r="A51" s="78" t="s">
        <v>698</v>
      </c>
      <c r="B51" s="79" t="s">
        <v>71</v>
      </c>
      <c r="C51" s="79" t="s">
        <v>117</v>
      </c>
      <c r="D51" s="76" t="s">
        <v>699</v>
      </c>
      <c r="E51" s="76" t="s">
        <v>700</v>
      </c>
      <c r="F51" s="79" t="s">
        <v>98</v>
      </c>
      <c r="G51" s="79" t="s">
        <v>701</v>
      </c>
      <c r="H51" s="79" t="s">
        <v>41</v>
      </c>
      <c r="I51" s="79" t="s">
        <v>702</v>
      </c>
      <c r="J51" s="79" t="s">
        <v>41</v>
      </c>
      <c r="K51" s="79" t="s">
        <v>703</v>
      </c>
      <c r="L51" s="79" t="s">
        <v>41</v>
      </c>
      <c r="M51" s="79" t="s">
        <v>704</v>
      </c>
      <c r="N51" s="79" t="s">
        <v>47</v>
      </c>
      <c r="O51" s="79" t="s">
        <v>705</v>
      </c>
      <c r="P51" s="80" t="str">
        <f>IF(AC51&gt;=Reference!$H$2, Reference!$G$2, IF(AC51&gt;=Reference!$H$3, Reference!$G$3, IF(AC51&gt;=Reference!$H$4, Reference!$G$4, IF(AC51&gt;=Reference!$H$5, Reference!$G$5, ""))))</f>
        <v>Severe</v>
      </c>
      <c r="Q51" s="80" t="str">
        <f t="shared" si="6"/>
        <v>High</v>
      </c>
      <c r="R51" s="80" t="str">
        <f>IF(AE51&gt;=Reference!$D$2, Reference!$G$2, IF(AE51&gt;=Reference!$D$3, Reference!$E$3, IF(AE51&gt;=Reference!$D$4, Reference!$E$4, IF(AE51&gt;=Reference!$D$5, Reference!$E$5, ""))))</f>
        <v>Severe</v>
      </c>
      <c r="S51" s="81" t="s">
        <v>76</v>
      </c>
      <c r="T51" s="82" t="s">
        <v>706</v>
      </c>
      <c r="U51" s="79" t="s">
        <v>707</v>
      </c>
      <c r="V51" s="79" t="s">
        <v>708</v>
      </c>
      <c r="W51" s="79" t="s">
        <v>709</v>
      </c>
      <c r="X51" s="83"/>
      <c r="Y51" s="84">
        <f>IF(H51=Reference!$A$12, Reference!$C$12, IF(H51=Reference!$A$11, Reference!$C$11, IF(H51=Reference!$A$10, Reference!$C$10, IF(H51=Reference!$A$9, Reference!$C$9, 0))))</f>
        <v>7</v>
      </c>
      <c r="Z51" s="84">
        <f>IF(J51=Reference!$A$20, Reference!$C$20, IF(J51=Reference!$A$19, Reference!$C$19, IF(J51=Reference!$A$18, Reference!$C$18, IF(J51=Reference!$A$17, Reference!$C$17, 0))))</f>
        <v>7</v>
      </c>
      <c r="AA51" s="84">
        <f>IF(L51=Reference!$A$28, Reference!$C$28, IF(L51=Reference!$A$27, Reference!$C$27, IF(L51=Reference!$A$26, Reference!$C$26, IF(L51=Reference!$A$25, Reference!$C$25, 0))))</f>
        <v>7</v>
      </c>
      <c r="AB51" s="84">
        <f>IF(N51=Reference!$A$36, Reference!$C$36, IF(N51=Reference!$A$35, Reference!$C$35, IF(N51=Reference!$A$34, Reference!$C$34, IF(N51=Reference!$A$33, Reference!$C$33, 0))))</f>
        <v>1</v>
      </c>
      <c r="AC51" s="84">
        <f>(Reference!$B$2*Y51 + Reference!$B$3*AA51 + Reference!$B$4*Z51 + Reference!$B$5*AB51)/4</f>
        <v>11.4375</v>
      </c>
      <c r="AD51" s="84">
        <f>IF(Q51=Reference!$C$41, Reference!$D$41, IF(Q51=Reference!$C$42, Reference!$D$42, IF(Q51=Reference!$C$43, Reference!$D$43, IF(Q51=Reference!$C$44, Reference!$D$44, 0))))</f>
        <v>10</v>
      </c>
      <c r="AE51" s="84">
        <f t="shared" si="7"/>
        <v>115.375</v>
      </c>
    </row>
    <row r="52" spans="1:31">
      <c r="A52" s="85"/>
      <c r="B52" s="86"/>
      <c r="C52" s="86"/>
      <c r="D52" s="75"/>
      <c r="E52" s="75"/>
      <c r="F52" s="86"/>
      <c r="G52" s="86"/>
      <c r="H52" s="86"/>
      <c r="I52" s="86"/>
      <c r="J52" s="86"/>
      <c r="K52" s="86"/>
      <c r="L52" s="86"/>
      <c r="M52" s="86"/>
      <c r="N52" s="86"/>
      <c r="O52" s="86"/>
      <c r="P52" s="87"/>
      <c r="Q52" s="87"/>
      <c r="R52" s="87"/>
      <c r="S52" s="86"/>
      <c r="T52" s="86"/>
      <c r="U52" s="86"/>
      <c r="V52" s="86"/>
      <c r="W52" s="86"/>
      <c r="X52" s="88"/>
      <c r="Y52" s="86"/>
      <c r="Z52" s="86"/>
      <c r="AA52" s="86"/>
      <c r="AB52" s="86"/>
      <c r="AC52" s="86"/>
      <c r="AD52" s="86"/>
      <c r="AE52" s="86"/>
    </row>
    <row r="53" spans="1:31" ht="38.4" customHeight="1">
      <c r="A53" s="89"/>
      <c r="B53" s="86"/>
      <c r="C53" s="86"/>
      <c r="D53" s="75"/>
      <c r="E53" s="75"/>
      <c r="F53" s="86"/>
      <c r="G53" s="86"/>
      <c r="H53" s="86"/>
      <c r="I53" s="86"/>
      <c r="J53" s="86"/>
      <c r="K53" s="90"/>
      <c r="L53" s="86"/>
      <c r="M53" s="86"/>
      <c r="N53" s="86"/>
      <c r="O53" s="86"/>
      <c r="P53" s="87"/>
      <c r="Q53" s="87"/>
      <c r="R53" s="87"/>
      <c r="S53" s="86"/>
      <c r="T53" s="86"/>
      <c r="U53" s="86"/>
      <c r="V53" s="86"/>
      <c r="W53" s="86"/>
      <c r="X53" s="88"/>
      <c r="Y53" s="86"/>
      <c r="Z53" s="86"/>
      <c r="AA53" s="86"/>
      <c r="AB53" s="86"/>
      <c r="AC53" s="86"/>
      <c r="AD53" s="86"/>
      <c r="AE53" s="86"/>
    </row>
    <row r="54" spans="1:31">
      <c r="A54" s="85"/>
      <c r="B54" s="86"/>
      <c r="C54" s="86"/>
      <c r="D54" s="75"/>
      <c r="E54" s="75"/>
      <c r="F54" s="86"/>
      <c r="G54" s="86"/>
      <c r="H54" s="86"/>
      <c r="I54" s="86"/>
      <c r="J54" s="86"/>
      <c r="K54" s="86"/>
      <c r="L54" s="86"/>
      <c r="M54" s="86"/>
      <c r="N54" s="86"/>
      <c r="O54" s="90"/>
      <c r="P54" s="87"/>
      <c r="Q54" s="87"/>
      <c r="R54" s="87"/>
      <c r="S54" s="86"/>
      <c r="T54" s="86"/>
      <c r="U54" s="86"/>
      <c r="V54" s="86"/>
      <c r="W54" s="86"/>
      <c r="X54" s="88"/>
      <c r="Y54" s="86"/>
      <c r="Z54" s="86"/>
      <c r="AA54" s="86"/>
      <c r="AB54" s="86"/>
      <c r="AC54" s="86"/>
      <c r="AD54" s="86"/>
      <c r="AE54" s="86"/>
    </row>
    <row r="55" spans="1:31">
      <c r="A55" s="85"/>
      <c r="B55" s="86"/>
      <c r="C55" s="86"/>
      <c r="D55" s="75"/>
      <c r="E55" s="75"/>
      <c r="F55" s="86"/>
      <c r="G55" s="86"/>
      <c r="H55" s="86"/>
      <c r="I55" s="86"/>
      <c r="J55" s="86"/>
      <c r="K55" s="86"/>
      <c r="L55" s="86"/>
      <c r="M55" s="86"/>
      <c r="N55" s="86"/>
      <c r="O55" s="86"/>
      <c r="P55" s="87"/>
      <c r="Q55" s="87"/>
      <c r="R55" s="87"/>
      <c r="S55" s="86"/>
      <c r="T55" s="86"/>
      <c r="U55" s="86"/>
      <c r="V55" s="86"/>
      <c r="W55" s="86"/>
      <c r="X55" s="88"/>
      <c r="Y55" s="86"/>
      <c r="Z55" s="86"/>
      <c r="AA55" s="86"/>
      <c r="AB55" s="86"/>
      <c r="AC55" s="86"/>
      <c r="AD55" s="86"/>
      <c r="AE55" s="86"/>
    </row>
    <row r="56" spans="1:31">
      <c r="A56" s="85"/>
      <c r="B56" s="86"/>
      <c r="C56" s="86"/>
      <c r="D56" s="77"/>
      <c r="E56" s="75"/>
      <c r="F56" s="86"/>
      <c r="G56" s="86"/>
      <c r="H56" s="86"/>
      <c r="I56" s="86"/>
      <c r="J56" s="86"/>
      <c r="K56" s="86"/>
      <c r="L56" s="86"/>
      <c r="M56" s="86"/>
      <c r="N56" s="86"/>
      <c r="O56" s="86"/>
      <c r="P56" s="87"/>
      <c r="Q56" s="87"/>
      <c r="R56" s="87"/>
      <c r="S56" s="86"/>
      <c r="T56" s="86"/>
      <c r="U56" s="86"/>
      <c r="V56" s="86"/>
      <c r="W56" s="86"/>
      <c r="X56" s="88"/>
      <c r="Y56" s="86"/>
      <c r="Z56" s="86"/>
      <c r="AA56" s="86"/>
      <c r="AB56" s="86"/>
      <c r="AC56" s="86"/>
      <c r="AD56" s="86"/>
      <c r="AE56" s="86"/>
    </row>
    <row r="57" spans="1:31">
      <c r="A57" s="85"/>
      <c r="B57" s="86"/>
      <c r="C57" s="86"/>
      <c r="D57" s="75"/>
      <c r="E57" s="75"/>
      <c r="F57" s="86"/>
      <c r="G57" s="86"/>
      <c r="H57" s="86"/>
      <c r="I57" s="86"/>
      <c r="J57" s="86"/>
      <c r="K57" s="86"/>
      <c r="L57" s="86"/>
      <c r="M57" s="86"/>
      <c r="N57" s="86"/>
      <c r="O57" s="86"/>
      <c r="P57" s="87"/>
      <c r="Q57" s="87"/>
      <c r="R57" s="87"/>
      <c r="S57" s="86"/>
      <c r="T57" s="86"/>
      <c r="U57" s="86"/>
      <c r="V57" s="86"/>
      <c r="W57" s="86"/>
      <c r="X57" s="88"/>
      <c r="Y57" s="86"/>
      <c r="Z57" s="86"/>
      <c r="AA57" s="86"/>
      <c r="AB57" s="86"/>
      <c r="AC57" s="86"/>
      <c r="AD57" s="86"/>
      <c r="AE57" s="86"/>
    </row>
    <row r="58" spans="1:31">
      <c r="A58" s="85"/>
      <c r="B58" s="86"/>
      <c r="C58" s="86"/>
      <c r="D58" s="75"/>
      <c r="E58" s="75"/>
      <c r="F58" s="86"/>
      <c r="G58" s="86"/>
      <c r="H58" s="86"/>
      <c r="I58" s="86"/>
      <c r="J58" s="86"/>
      <c r="K58" s="86"/>
      <c r="L58" s="86"/>
      <c r="M58" s="86"/>
      <c r="N58" s="86"/>
      <c r="O58" s="86"/>
      <c r="P58" s="87"/>
      <c r="Q58" s="87"/>
      <c r="R58" s="87"/>
      <c r="S58" s="86"/>
      <c r="T58" s="86"/>
      <c r="U58" s="86"/>
      <c r="V58" s="86"/>
      <c r="W58" s="86"/>
      <c r="X58" s="88"/>
      <c r="Y58" s="86"/>
      <c r="Z58" s="86"/>
      <c r="AA58" s="86"/>
      <c r="AB58" s="86"/>
      <c r="AC58" s="86"/>
      <c r="AD58" s="86"/>
      <c r="AE58" s="86"/>
    </row>
    <row r="59" spans="1:31">
      <c r="A59" s="85"/>
      <c r="B59" s="86"/>
      <c r="C59" s="86"/>
      <c r="D59" s="75"/>
      <c r="E59" s="75"/>
      <c r="F59" s="86"/>
      <c r="G59" s="86"/>
      <c r="H59" s="86"/>
      <c r="I59" s="86"/>
      <c r="J59" s="86"/>
      <c r="K59" s="86"/>
      <c r="L59" s="86"/>
      <c r="M59" s="86"/>
      <c r="N59" s="86"/>
      <c r="O59" s="86"/>
      <c r="P59" s="87"/>
      <c r="Q59" s="87"/>
      <c r="R59" s="87"/>
      <c r="S59" s="86"/>
      <c r="T59" s="86"/>
      <c r="U59" s="86"/>
      <c r="V59" s="86"/>
      <c r="W59" s="86"/>
      <c r="X59" s="88"/>
      <c r="Y59" s="86"/>
      <c r="Z59" s="86"/>
      <c r="AA59" s="86"/>
      <c r="AB59" s="86"/>
      <c r="AC59" s="86"/>
      <c r="AD59" s="86"/>
      <c r="AE59" s="86"/>
    </row>
    <row r="60" spans="1:31" ht="14.4">
      <c r="A60" s="85"/>
      <c r="B60" s="86"/>
      <c r="C60" s="86"/>
      <c r="D60" s="75"/>
      <c r="E60" s="75"/>
      <c r="F60" s="86"/>
      <c r="G60" s="91"/>
      <c r="H60" s="86"/>
      <c r="I60" s="86"/>
      <c r="J60" s="86"/>
      <c r="K60" s="86"/>
      <c r="L60" s="86"/>
      <c r="M60" s="86"/>
      <c r="N60" s="86"/>
      <c r="O60" s="86"/>
      <c r="P60" s="87"/>
      <c r="Q60" s="87"/>
      <c r="R60" s="87"/>
      <c r="S60" s="86"/>
      <c r="T60" s="92"/>
      <c r="U60" s="86"/>
      <c r="V60" s="86"/>
      <c r="W60" s="86"/>
      <c r="X60" s="88"/>
      <c r="Y60" s="86"/>
      <c r="Z60" s="86"/>
      <c r="AA60" s="86"/>
      <c r="AB60" s="86"/>
      <c r="AC60" s="86"/>
      <c r="AD60" s="86"/>
      <c r="AE60" s="86"/>
    </row>
    <row r="61" spans="1:31">
      <c r="A61" s="85"/>
      <c r="B61" s="86"/>
      <c r="C61" s="86"/>
      <c r="D61" s="75"/>
      <c r="E61" s="75"/>
      <c r="F61" s="86"/>
      <c r="G61" s="86"/>
      <c r="H61" s="86"/>
      <c r="I61" s="93"/>
      <c r="J61" s="86"/>
      <c r="K61" s="86"/>
      <c r="L61" s="86"/>
      <c r="M61" s="86"/>
      <c r="N61" s="86"/>
      <c r="O61" s="93"/>
      <c r="P61" s="87"/>
      <c r="Q61" s="87"/>
      <c r="R61" s="87"/>
      <c r="S61" s="86"/>
      <c r="T61" s="86"/>
      <c r="U61" s="86"/>
      <c r="V61" s="86"/>
      <c r="W61" s="86"/>
      <c r="X61" s="88"/>
      <c r="Y61" s="86"/>
      <c r="Z61" s="86"/>
      <c r="AA61" s="86"/>
      <c r="AB61" s="86"/>
      <c r="AC61" s="86"/>
      <c r="AD61" s="86"/>
      <c r="AE61" s="86"/>
    </row>
    <row r="62" spans="1:31">
      <c r="A62" s="85"/>
      <c r="B62" s="86"/>
      <c r="C62" s="86"/>
      <c r="D62" s="75"/>
      <c r="E62" s="75"/>
      <c r="F62" s="86"/>
      <c r="G62" s="86"/>
      <c r="H62" s="86"/>
      <c r="I62" s="86"/>
      <c r="J62" s="86"/>
      <c r="K62" s="86"/>
      <c r="L62" s="86"/>
      <c r="M62" s="86"/>
      <c r="N62" s="86"/>
      <c r="O62" s="86"/>
      <c r="P62" s="87"/>
      <c r="Q62" s="87"/>
      <c r="R62" s="87"/>
      <c r="S62" s="86"/>
      <c r="T62" s="86"/>
      <c r="U62" s="86"/>
      <c r="V62" s="86"/>
      <c r="W62" s="86"/>
      <c r="X62" s="88"/>
      <c r="Y62" s="86"/>
      <c r="Z62" s="86"/>
      <c r="AA62" s="86"/>
      <c r="AB62" s="86"/>
      <c r="AC62" s="86"/>
      <c r="AD62" s="86"/>
      <c r="AE62" s="86"/>
    </row>
    <row r="63" spans="1:31">
      <c r="A63" s="85"/>
      <c r="B63" s="86"/>
      <c r="C63" s="86"/>
      <c r="D63" s="75"/>
      <c r="E63" s="75"/>
      <c r="F63" s="86"/>
      <c r="G63" s="86"/>
      <c r="H63" s="86"/>
      <c r="I63" s="86"/>
      <c r="J63" s="86"/>
      <c r="K63" s="86"/>
      <c r="L63" s="86"/>
      <c r="M63" s="86"/>
      <c r="N63" s="86"/>
      <c r="O63" s="86"/>
      <c r="P63" s="87"/>
      <c r="Q63" s="87"/>
      <c r="R63" s="87"/>
      <c r="S63" s="86"/>
      <c r="T63" s="86"/>
      <c r="U63" s="86"/>
      <c r="V63" s="86"/>
      <c r="W63" s="86"/>
      <c r="X63" s="88"/>
      <c r="Y63" s="86"/>
      <c r="Z63" s="86"/>
      <c r="AA63" s="86"/>
      <c r="AB63" s="86"/>
      <c r="AC63" s="86"/>
      <c r="AD63" s="86"/>
      <c r="AE63" s="86"/>
    </row>
    <row r="64" spans="1:31">
      <c r="A64" s="85"/>
      <c r="B64" s="86"/>
      <c r="C64" s="86"/>
      <c r="D64" s="75"/>
      <c r="E64" s="75"/>
      <c r="F64" s="86"/>
      <c r="G64" s="86"/>
      <c r="H64" s="86"/>
      <c r="I64" s="86"/>
      <c r="J64" s="86"/>
      <c r="K64" s="86"/>
      <c r="L64" s="86"/>
      <c r="M64" s="86"/>
      <c r="N64" s="86"/>
      <c r="O64" s="86"/>
      <c r="P64" s="87"/>
      <c r="Q64" s="87"/>
      <c r="R64" s="87"/>
      <c r="S64" s="86"/>
      <c r="T64" s="86"/>
      <c r="U64" s="86"/>
      <c r="V64" s="86"/>
      <c r="W64" s="86"/>
      <c r="X64" s="88"/>
      <c r="Y64" s="86"/>
      <c r="Z64" s="86"/>
      <c r="AA64" s="86"/>
      <c r="AB64" s="86"/>
      <c r="AC64" s="86"/>
      <c r="AD64" s="86"/>
      <c r="AE64" s="86"/>
    </row>
    <row r="65" spans="1:31">
      <c r="A65" s="85"/>
      <c r="B65" s="86"/>
      <c r="C65" s="86"/>
      <c r="D65" s="75"/>
      <c r="E65" s="75"/>
      <c r="F65" s="86"/>
      <c r="G65" s="86"/>
      <c r="H65" s="86"/>
      <c r="I65" s="86"/>
      <c r="J65" s="86"/>
      <c r="K65" s="86"/>
      <c r="L65" s="86"/>
      <c r="M65" s="86"/>
      <c r="N65" s="86"/>
      <c r="O65" s="86"/>
      <c r="P65" s="87"/>
      <c r="Q65" s="87"/>
      <c r="R65" s="87"/>
      <c r="S65" s="86"/>
      <c r="T65" s="86"/>
      <c r="U65" s="86"/>
      <c r="V65" s="86"/>
      <c r="W65" s="86"/>
      <c r="X65" s="88"/>
      <c r="Y65" s="86"/>
      <c r="Z65" s="86"/>
      <c r="AA65" s="86"/>
      <c r="AB65" s="86"/>
      <c r="AC65" s="86"/>
      <c r="AD65" s="86"/>
      <c r="AE65" s="86"/>
    </row>
    <row r="66" spans="1:31">
      <c r="A66" s="85"/>
      <c r="B66" s="86"/>
      <c r="C66" s="86"/>
      <c r="D66" s="75"/>
      <c r="E66" s="75"/>
      <c r="F66" s="86"/>
      <c r="G66" s="86"/>
      <c r="H66" s="86"/>
      <c r="I66" s="86"/>
      <c r="J66" s="86"/>
      <c r="K66" s="86"/>
      <c r="L66" s="86"/>
      <c r="M66" s="86"/>
      <c r="N66" s="86"/>
      <c r="O66" s="86"/>
      <c r="P66" s="87"/>
      <c r="Q66" s="87"/>
      <c r="R66" s="87"/>
      <c r="S66" s="86"/>
      <c r="T66" s="93"/>
      <c r="U66" s="86"/>
      <c r="V66" s="86"/>
      <c r="W66" s="86"/>
      <c r="X66" s="88"/>
      <c r="Y66" s="86"/>
      <c r="Z66" s="86"/>
      <c r="AA66" s="86"/>
      <c r="AB66" s="86"/>
      <c r="AC66" s="86"/>
      <c r="AD66" s="86"/>
      <c r="AE66" s="86"/>
    </row>
    <row r="67" spans="1:31">
      <c r="A67" s="85"/>
      <c r="B67" s="86"/>
      <c r="C67" s="86"/>
      <c r="D67" s="75"/>
      <c r="E67" s="75"/>
      <c r="F67" s="86"/>
      <c r="G67" s="86"/>
      <c r="H67" s="86"/>
      <c r="I67" s="86"/>
      <c r="J67" s="86"/>
      <c r="K67" s="86"/>
      <c r="L67" s="86"/>
      <c r="M67" s="86"/>
      <c r="N67" s="86"/>
      <c r="O67" s="86"/>
      <c r="P67" s="87"/>
      <c r="Q67" s="87"/>
      <c r="R67" s="87"/>
      <c r="S67" s="86"/>
      <c r="T67" s="86"/>
      <c r="U67" s="86"/>
      <c r="V67" s="86"/>
      <c r="W67" s="86"/>
      <c r="X67" s="88"/>
      <c r="Y67" s="86"/>
      <c r="Z67" s="86"/>
      <c r="AA67" s="86"/>
      <c r="AB67" s="86"/>
      <c r="AC67" s="86"/>
      <c r="AD67" s="86"/>
      <c r="AE67" s="86"/>
    </row>
    <row r="68" spans="1:31">
      <c r="A68" s="85"/>
      <c r="B68" s="86"/>
      <c r="C68" s="86"/>
      <c r="D68" s="75"/>
      <c r="E68" s="75"/>
      <c r="F68" s="86"/>
      <c r="G68" s="86"/>
      <c r="H68" s="86"/>
      <c r="I68" s="86"/>
      <c r="J68" s="86"/>
      <c r="K68" s="86"/>
      <c r="L68" s="86"/>
      <c r="M68" s="86"/>
      <c r="N68" s="86"/>
      <c r="O68" s="86"/>
      <c r="P68" s="87"/>
      <c r="Q68" s="87"/>
      <c r="R68" s="87"/>
      <c r="S68" s="86"/>
      <c r="T68" s="86"/>
      <c r="U68" s="86"/>
      <c r="V68" s="86"/>
      <c r="W68" s="86"/>
      <c r="X68" s="88"/>
      <c r="Y68" s="86"/>
      <c r="Z68" s="86"/>
      <c r="AA68" s="86"/>
      <c r="AB68" s="86"/>
      <c r="AC68" s="86"/>
      <c r="AD68" s="86"/>
      <c r="AE68" s="86"/>
    </row>
    <row r="69" spans="1:31">
      <c r="A69" s="85"/>
      <c r="B69" s="86"/>
      <c r="C69" s="86"/>
      <c r="D69" s="75"/>
      <c r="E69" s="75"/>
      <c r="F69" s="86"/>
      <c r="G69" s="86"/>
      <c r="H69" s="86"/>
      <c r="I69" s="86"/>
      <c r="J69" s="86"/>
      <c r="K69" s="86"/>
      <c r="L69" s="86"/>
      <c r="M69" s="86"/>
      <c r="N69" s="86"/>
      <c r="O69" s="86"/>
      <c r="P69" s="87"/>
      <c r="Q69" s="87"/>
      <c r="R69" s="87"/>
      <c r="S69" s="86"/>
      <c r="T69" s="86"/>
      <c r="U69" s="86"/>
      <c r="V69" s="86"/>
      <c r="W69" s="86"/>
      <c r="X69" s="88"/>
      <c r="Y69" s="86"/>
      <c r="Z69" s="86"/>
      <c r="AA69" s="86"/>
      <c r="AB69" s="86"/>
      <c r="AC69" s="86"/>
      <c r="AD69" s="86"/>
      <c r="AE69" s="86"/>
    </row>
    <row r="70" spans="1:31">
      <c r="A70" s="85"/>
      <c r="B70" s="86"/>
      <c r="C70" s="86"/>
      <c r="D70" s="75"/>
      <c r="E70" s="75"/>
      <c r="F70" s="86"/>
      <c r="G70" s="86"/>
      <c r="H70" s="86"/>
      <c r="I70" s="86"/>
      <c r="J70" s="86"/>
      <c r="K70" s="93"/>
      <c r="L70" s="86"/>
      <c r="M70" s="93"/>
      <c r="N70" s="86"/>
      <c r="O70" s="93"/>
      <c r="P70" s="87"/>
      <c r="Q70" s="87"/>
      <c r="R70" s="87"/>
      <c r="S70" s="86"/>
      <c r="T70" s="86"/>
      <c r="U70" s="86"/>
      <c r="V70" s="86"/>
      <c r="W70" s="86"/>
      <c r="X70" s="88"/>
      <c r="Y70" s="86"/>
      <c r="Z70" s="86"/>
      <c r="AA70" s="86"/>
      <c r="AB70" s="86"/>
      <c r="AC70" s="86"/>
      <c r="AD70" s="86"/>
      <c r="AE70" s="86"/>
    </row>
    <row r="71" spans="1:31">
      <c r="A71" s="85"/>
      <c r="B71" s="86"/>
      <c r="C71" s="86"/>
      <c r="D71" s="75"/>
      <c r="E71" s="75"/>
      <c r="F71" s="86"/>
      <c r="G71" s="86"/>
      <c r="H71" s="86"/>
      <c r="I71" s="91"/>
      <c r="J71" s="86"/>
      <c r="K71" s="86"/>
      <c r="L71" s="86"/>
      <c r="M71" s="86"/>
      <c r="N71" s="86"/>
      <c r="O71" s="86"/>
      <c r="P71" s="87"/>
      <c r="Q71" s="87"/>
      <c r="R71" s="87"/>
      <c r="S71" s="86"/>
      <c r="T71" s="86"/>
      <c r="U71" s="86"/>
      <c r="V71" s="86"/>
      <c r="W71" s="86"/>
      <c r="X71" s="88"/>
      <c r="Y71" s="86"/>
      <c r="Z71" s="86"/>
      <c r="AA71" s="86"/>
      <c r="AB71" s="86"/>
      <c r="AC71" s="86"/>
      <c r="AD71" s="86"/>
      <c r="AE71" s="86"/>
    </row>
    <row r="72" spans="1:31">
      <c r="A72" s="85"/>
      <c r="B72" s="86"/>
      <c r="C72" s="86"/>
      <c r="D72" s="77"/>
      <c r="E72" s="75"/>
      <c r="F72" s="86"/>
      <c r="G72" s="86"/>
      <c r="H72" s="86"/>
      <c r="I72" s="86"/>
      <c r="J72" s="86"/>
      <c r="K72" s="93"/>
      <c r="L72" s="86"/>
      <c r="M72" s="86"/>
      <c r="N72" s="86"/>
      <c r="O72" s="86"/>
      <c r="P72" s="87"/>
      <c r="Q72" s="87"/>
      <c r="R72" s="87"/>
      <c r="S72" s="86"/>
      <c r="T72" s="86"/>
      <c r="U72" s="86"/>
      <c r="V72" s="86"/>
      <c r="W72" s="86"/>
      <c r="X72" s="88"/>
      <c r="Y72" s="86"/>
      <c r="Z72" s="86"/>
      <c r="AA72" s="86"/>
      <c r="AB72" s="86"/>
      <c r="AC72" s="86"/>
      <c r="AD72" s="86"/>
      <c r="AE72" s="86"/>
    </row>
    <row r="73" spans="1:31">
      <c r="A73" s="85"/>
      <c r="B73" s="86"/>
      <c r="C73" s="86"/>
      <c r="D73" s="75"/>
      <c r="E73" s="75"/>
      <c r="F73" s="86"/>
      <c r="G73" s="88"/>
      <c r="H73" s="86"/>
      <c r="I73" s="86"/>
      <c r="J73" s="86"/>
      <c r="K73" s="86"/>
      <c r="L73" s="86"/>
      <c r="M73" s="86"/>
      <c r="N73" s="86"/>
      <c r="O73" s="86"/>
      <c r="P73" s="87"/>
      <c r="Q73" s="87"/>
      <c r="R73" s="87"/>
      <c r="S73" s="86"/>
      <c r="T73" s="86"/>
      <c r="U73" s="86"/>
      <c r="V73" s="86"/>
      <c r="W73" s="86"/>
      <c r="X73" s="88"/>
      <c r="Y73" s="86"/>
      <c r="Z73" s="86"/>
      <c r="AA73" s="86"/>
      <c r="AB73" s="86"/>
      <c r="AC73" s="86"/>
      <c r="AD73" s="86"/>
      <c r="AE73" s="86"/>
    </row>
    <row r="74" spans="1:31">
      <c r="A74" s="85"/>
      <c r="B74" s="86"/>
      <c r="C74" s="86"/>
      <c r="D74" s="75"/>
      <c r="E74" s="75"/>
      <c r="F74" s="86"/>
      <c r="G74" s="86"/>
      <c r="H74" s="86"/>
      <c r="I74" s="86"/>
      <c r="J74" s="86"/>
      <c r="K74" s="86"/>
      <c r="L74" s="86"/>
      <c r="M74" s="86"/>
      <c r="N74" s="86"/>
      <c r="O74" s="86"/>
      <c r="P74" s="87"/>
      <c r="Q74" s="87"/>
      <c r="R74" s="87"/>
      <c r="S74" s="86"/>
      <c r="T74" s="86"/>
      <c r="U74" s="86"/>
      <c r="V74" s="86"/>
      <c r="W74" s="86"/>
      <c r="X74" s="88"/>
      <c r="Y74" s="86"/>
      <c r="Z74" s="86"/>
      <c r="AA74" s="86"/>
      <c r="AB74" s="86"/>
      <c r="AC74" s="86"/>
      <c r="AD74" s="86"/>
      <c r="AE74" s="86"/>
    </row>
    <row r="75" spans="1:31">
      <c r="A75" s="85"/>
      <c r="B75" s="86"/>
      <c r="C75" s="86"/>
      <c r="D75" s="75"/>
      <c r="E75" s="75"/>
      <c r="F75" s="86"/>
      <c r="G75" s="86"/>
      <c r="H75" s="86"/>
      <c r="I75" s="86"/>
      <c r="J75" s="86"/>
      <c r="K75" s="93"/>
      <c r="L75" s="86"/>
      <c r="M75" s="93"/>
      <c r="N75" s="86"/>
      <c r="O75" s="93"/>
      <c r="P75" s="87"/>
      <c r="Q75" s="87"/>
      <c r="R75" s="87"/>
      <c r="S75" s="86"/>
      <c r="T75" s="86"/>
      <c r="U75" s="86"/>
      <c r="V75" s="86"/>
      <c r="W75" s="86"/>
      <c r="X75" s="88"/>
      <c r="Y75" s="86"/>
      <c r="Z75" s="86"/>
      <c r="AA75" s="86"/>
      <c r="AB75" s="86"/>
      <c r="AC75" s="86"/>
      <c r="AD75" s="86"/>
      <c r="AE75" s="86"/>
    </row>
    <row r="76" spans="1:31">
      <c r="A76" s="85"/>
      <c r="B76" s="86"/>
      <c r="C76" s="86"/>
      <c r="D76" s="75"/>
      <c r="E76" s="75"/>
      <c r="F76" s="86"/>
      <c r="G76" s="86"/>
      <c r="H76" s="86"/>
      <c r="I76" s="86"/>
      <c r="J76" s="86"/>
      <c r="K76" s="86"/>
      <c r="L76" s="86"/>
      <c r="M76" s="86"/>
      <c r="N76" s="86"/>
      <c r="O76" s="86"/>
      <c r="P76" s="87"/>
      <c r="Q76" s="87"/>
      <c r="R76" s="87"/>
      <c r="S76" s="86"/>
      <c r="T76" s="86"/>
      <c r="U76" s="86"/>
      <c r="V76" s="86"/>
      <c r="W76" s="86"/>
      <c r="X76" s="88"/>
      <c r="Y76" s="86"/>
      <c r="Z76" s="86"/>
      <c r="AA76" s="86"/>
      <c r="AB76" s="86"/>
      <c r="AC76" s="86"/>
      <c r="AD76" s="86"/>
      <c r="AE76" s="86"/>
    </row>
    <row r="77" spans="1:31">
      <c r="A77" s="85"/>
      <c r="B77" s="86"/>
      <c r="C77" s="86"/>
      <c r="D77" s="75"/>
      <c r="E77" s="75"/>
      <c r="F77" s="86"/>
      <c r="G77" s="86"/>
      <c r="H77" s="86"/>
      <c r="I77" s="86"/>
      <c r="J77" s="86"/>
      <c r="K77" s="86"/>
      <c r="L77" s="86"/>
      <c r="M77" s="86"/>
      <c r="N77" s="86"/>
      <c r="O77" s="86"/>
      <c r="P77" s="87"/>
      <c r="Q77" s="87"/>
      <c r="R77" s="87"/>
      <c r="S77" s="86"/>
      <c r="T77" s="86"/>
      <c r="U77" s="86"/>
      <c r="V77" s="86"/>
      <c r="W77" s="86"/>
      <c r="X77" s="88"/>
      <c r="Y77" s="86"/>
      <c r="Z77" s="86"/>
      <c r="AA77" s="86"/>
      <c r="AB77" s="86"/>
      <c r="AC77" s="86"/>
      <c r="AD77" s="86"/>
      <c r="AE77" s="86"/>
    </row>
    <row r="78" spans="1:31">
      <c r="A78" s="85"/>
      <c r="B78" s="86"/>
      <c r="C78" s="86"/>
      <c r="D78" s="75"/>
      <c r="E78" s="75"/>
      <c r="F78" s="86"/>
      <c r="G78" s="88"/>
      <c r="H78" s="86"/>
      <c r="I78" s="86"/>
      <c r="J78" s="86"/>
      <c r="K78" s="86"/>
      <c r="L78" s="86"/>
      <c r="M78" s="86"/>
      <c r="N78" s="86"/>
      <c r="O78" s="86"/>
      <c r="P78" s="87"/>
      <c r="Q78" s="87"/>
      <c r="R78" s="87"/>
      <c r="S78" s="86"/>
      <c r="T78" s="86"/>
      <c r="U78" s="86"/>
      <c r="V78" s="86"/>
      <c r="W78" s="86"/>
      <c r="X78" s="88"/>
      <c r="Y78" s="86"/>
      <c r="Z78" s="86"/>
      <c r="AA78" s="86"/>
      <c r="AB78" s="86"/>
      <c r="AC78" s="86"/>
      <c r="AD78" s="86"/>
      <c r="AE78" s="86"/>
    </row>
    <row r="79" spans="1:31">
      <c r="A79" s="85"/>
      <c r="B79" s="86"/>
      <c r="C79" s="86"/>
      <c r="D79" s="75"/>
      <c r="E79" s="75"/>
      <c r="F79" s="86"/>
      <c r="G79" s="86"/>
      <c r="H79" s="86"/>
      <c r="I79" s="86"/>
      <c r="J79" s="86"/>
      <c r="K79" s="86"/>
      <c r="L79" s="86"/>
      <c r="M79" s="86"/>
      <c r="N79" s="86"/>
      <c r="O79" s="86"/>
      <c r="P79" s="87"/>
      <c r="Q79" s="87"/>
      <c r="R79" s="87"/>
      <c r="S79" s="86"/>
      <c r="T79" s="86"/>
      <c r="U79" s="86"/>
      <c r="V79" s="94"/>
      <c r="W79" s="86"/>
      <c r="X79" s="88"/>
      <c r="Y79" s="86"/>
      <c r="Z79" s="86"/>
      <c r="AA79" s="86"/>
      <c r="AB79" s="86"/>
      <c r="AC79" s="86"/>
      <c r="AD79" s="86"/>
      <c r="AE79" s="86"/>
    </row>
    <row r="80" spans="1:31" ht="14.4">
      <c r="A80" s="85"/>
      <c r="B80" s="86"/>
      <c r="C80" s="86"/>
      <c r="D80" s="75"/>
      <c r="E80" s="75"/>
      <c r="F80" s="86"/>
      <c r="G80" s="92"/>
      <c r="H80" s="86"/>
      <c r="I80" s="86"/>
      <c r="J80" s="86"/>
      <c r="K80" s="86"/>
      <c r="L80" s="86"/>
      <c r="M80" s="86"/>
      <c r="N80" s="86"/>
      <c r="O80" s="86"/>
      <c r="P80" s="87"/>
      <c r="Q80" s="87"/>
      <c r="R80" s="87"/>
      <c r="S80" s="86"/>
      <c r="T80" s="92"/>
      <c r="U80" s="86"/>
      <c r="V80" s="86"/>
      <c r="W80" s="86"/>
      <c r="X80" s="88"/>
      <c r="Y80" s="86"/>
      <c r="Z80" s="86"/>
      <c r="AA80" s="86"/>
      <c r="AB80" s="86"/>
      <c r="AC80" s="86"/>
      <c r="AD80" s="86"/>
      <c r="AE80" s="86"/>
    </row>
    <row r="81" spans="1:31">
      <c r="A81" s="85"/>
      <c r="B81" s="86"/>
      <c r="C81" s="86"/>
      <c r="D81" s="75"/>
      <c r="E81" s="75"/>
      <c r="F81" s="86"/>
      <c r="G81" s="86"/>
      <c r="H81" s="86"/>
      <c r="I81" s="86"/>
      <c r="J81" s="86"/>
      <c r="K81" s="86"/>
      <c r="L81" s="86"/>
      <c r="M81" s="86"/>
      <c r="N81" s="86"/>
      <c r="O81" s="86"/>
      <c r="P81" s="87"/>
      <c r="Q81" s="87"/>
      <c r="R81" s="87"/>
      <c r="S81" s="86"/>
      <c r="T81" s="86"/>
      <c r="U81" s="86"/>
      <c r="V81" s="86"/>
      <c r="W81" s="86"/>
      <c r="X81" s="88"/>
      <c r="Y81" s="86"/>
      <c r="Z81" s="86"/>
      <c r="AA81" s="86"/>
      <c r="AB81" s="86"/>
      <c r="AC81" s="86"/>
      <c r="AD81" s="86"/>
      <c r="AE81" s="86"/>
    </row>
    <row r="82" spans="1:31">
      <c r="A82" s="85"/>
      <c r="B82" s="86"/>
      <c r="C82" s="86"/>
      <c r="D82" s="75"/>
      <c r="E82" s="75"/>
      <c r="F82" s="86"/>
      <c r="G82" s="86"/>
      <c r="H82" s="86"/>
      <c r="I82" s="86"/>
      <c r="J82" s="86"/>
      <c r="K82" s="86"/>
      <c r="L82" s="86"/>
      <c r="M82" s="86"/>
      <c r="N82" s="86"/>
      <c r="O82" s="86"/>
      <c r="P82" s="87"/>
      <c r="Q82" s="87"/>
      <c r="R82" s="87"/>
      <c r="S82" s="86"/>
      <c r="T82" s="86"/>
      <c r="U82" s="86"/>
      <c r="V82" s="86"/>
      <c r="W82" s="86"/>
      <c r="X82" s="88"/>
      <c r="Y82" s="86"/>
      <c r="Z82" s="86"/>
      <c r="AA82" s="86"/>
      <c r="AB82" s="86"/>
      <c r="AC82" s="86"/>
      <c r="AD82" s="86"/>
      <c r="AE82" s="86"/>
    </row>
    <row r="83" spans="1:31">
      <c r="A83" s="85"/>
      <c r="B83" s="86"/>
      <c r="C83" s="86"/>
      <c r="D83" s="75"/>
      <c r="E83" s="75"/>
      <c r="F83" s="86"/>
      <c r="G83" s="86"/>
      <c r="H83" s="86"/>
      <c r="I83" s="86"/>
      <c r="J83" s="86"/>
      <c r="K83" s="86"/>
      <c r="L83" s="86"/>
      <c r="M83" s="86"/>
      <c r="N83" s="86"/>
      <c r="O83" s="86"/>
      <c r="P83" s="87"/>
      <c r="Q83" s="87"/>
      <c r="R83" s="87"/>
      <c r="S83" s="86"/>
      <c r="T83" s="95"/>
      <c r="U83" s="86"/>
      <c r="V83" s="86"/>
      <c r="W83" s="86"/>
      <c r="X83" s="88"/>
      <c r="Y83" s="86"/>
      <c r="Z83" s="86"/>
      <c r="AA83" s="86"/>
      <c r="AB83" s="86"/>
      <c r="AC83" s="86"/>
      <c r="AD83" s="86"/>
      <c r="AE83" s="86"/>
    </row>
    <row r="84" spans="1:31">
      <c r="A84" s="85"/>
      <c r="B84" s="86"/>
      <c r="C84" s="86"/>
      <c r="D84" s="75"/>
      <c r="E84" s="75"/>
      <c r="F84" s="86"/>
      <c r="G84" s="86"/>
      <c r="H84" s="86"/>
      <c r="I84" s="86"/>
      <c r="J84" s="86"/>
      <c r="K84" s="93"/>
      <c r="L84" s="86"/>
      <c r="M84" s="86"/>
      <c r="N84" s="86"/>
      <c r="O84" s="93"/>
      <c r="P84" s="87"/>
      <c r="Q84" s="87"/>
      <c r="R84" s="87"/>
      <c r="S84" s="86"/>
      <c r="T84" s="86"/>
      <c r="U84" s="86"/>
      <c r="V84" s="86"/>
      <c r="W84" s="86"/>
      <c r="X84" s="88"/>
      <c r="Y84" s="86"/>
      <c r="Z84" s="86"/>
      <c r="AA84" s="86"/>
      <c r="AB84" s="86"/>
      <c r="AC84" s="86"/>
      <c r="AD84" s="86"/>
      <c r="AE84" s="86"/>
    </row>
    <row r="85" spans="1:31">
      <c r="A85" s="85"/>
      <c r="B85" s="86"/>
      <c r="C85" s="86"/>
      <c r="D85" s="75"/>
      <c r="E85" s="75"/>
      <c r="F85" s="86"/>
      <c r="G85" s="86"/>
      <c r="H85" s="86"/>
      <c r="I85" s="90"/>
      <c r="J85" s="86"/>
      <c r="K85" s="93"/>
      <c r="L85" s="86"/>
      <c r="M85" s="86"/>
      <c r="N85" s="86"/>
      <c r="O85" s="86"/>
      <c r="P85" s="87"/>
      <c r="Q85" s="87"/>
      <c r="R85" s="87"/>
      <c r="S85" s="86"/>
      <c r="T85" s="86"/>
      <c r="U85" s="86"/>
      <c r="V85" s="93"/>
      <c r="W85" s="86"/>
      <c r="X85" s="88"/>
      <c r="Y85" s="86"/>
      <c r="Z85" s="86"/>
      <c r="AA85" s="86"/>
      <c r="AB85" s="86"/>
      <c r="AC85" s="86"/>
      <c r="AD85" s="86"/>
      <c r="AE85" s="86"/>
    </row>
    <row r="86" spans="1:31">
      <c r="A86" s="85"/>
      <c r="B86" s="86"/>
      <c r="C86" s="86"/>
      <c r="D86" s="75"/>
      <c r="E86" s="75"/>
      <c r="F86" s="86"/>
      <c r="G86" s="75"/>
      <c r="H86" s="86"/>
      <c r="I86" s="86"/>
      <c r="J86" s="86"/>
      <c r="K86" s="93"/>
      <c r="L86" s="86"/>
      <c r="M86" s="86"/>
      <c r="N86" s="86"/>
      <c r="O86" s="86"/>
      <c r="P86" s="87"/>
      <c r="Q86" s="87"/>
      <c r="R86" s="87"/>
      <c r="S86" s="86"/>
      <c r="T86" s="86"/>
      <c r="U86" s="86"/>
      <c r="V86" s="86"/>
      <c r="W86" s="86"/>
      <c r="X86" s="88"/>
      <c r="Y86" s="86"/>
      <c r="Z86" s="86"/>
      <c r="AA86" s="86"/>
      <c r="AB86" s="86"/>
      <c r="AC86" s="86"/>
      <c r="AD86" s="86"/>
      <c r="AE86" s="86"/>
    </row>
    <row r="87" spans="1:31">
      <c r="A87" s="85"/>
      <c r="B87" s="86"/>
      <c r="C87" s="86"/>
      <c r="D87" s="75"/>
      <c r="E87" s="75"/>
      <c r="F87" s="86"/>
      <c r="G87" s="86"/>
      <c r="H87" s="86"/>
      <c r="I87" s="86"/>
      <c r="J87" s="86"/>
      <c r="K87" s="86"/>
      <c r="L87" s="86"/>
      <c r="M87" s="86"/>
      <c r="N87" s="86"/>
      <c r="O87" s="86"/>
      <c r="P87" s="87"/>
      <c r="Q87" s="87"/>
      <c r="R87" s="87"/>
      <c r="S87" s="86"/>
      <c r="T87" s="86"/>
      <c r="U87" s="86"/>
      <c r="V87" s="94"/>
      <c r="W87" s="86"/>
      <c r="X87" s="88"/>
      <c r="Y87" s="86"/>
      <c r="Z87" s="86"/>
      <c r="AA87" s="86"/>
      <c r="AB87" s="86"/>
      <c r="AC87" s="86"/>
      <c r="AD87" s="86"/>
      <c r="AE87" s="86"/>
    </row>
    <row r="88" spans="1:31">
      <c r="A88" s="85"/>
      <c r="B88" s="86"/>
      <c r="C88" s="86"/>
      <c r="D88" s="75"/>
      <c r="E88" s="75"/>
      <c r="F88" s="86"/>
      <c r="G88" s="86"/>
      <c r="H88" s="86"/>
      <c r="I88" s="86"/>
      <c r="J88" s="86"/>
      <c r="K88" s="93"/>
      <c r="L88" s="86"/>
      <c r="M88" s="86"/>
      <c r="N88" s="86"/>
      <c r="O88" s="86"/>
      <c r="P88" s="87"/>
      <c r="Q88" s="87"/>
      <c r="R88" s="87"/>
      <c r="S88" s="86"/>
      <c r="T88" s="93"/>
      <c r="U88" s="86"/>
      <c r="V88" s="86"/>
      <c r="W88" s="86"/>
      <c r="X88" s="88"/>
      <c r="Y88" s="86"/>
      <c r="Z88" s="86"/>
      <c r="AA88" s="86"/>
      <c r="AB88" s="86"/>
      <c r="AC88" s="86"/>
      <c r="AD88" s="86"/>
      <c r="AE88" s="86"/>
    </row>
    <row r="89" spans="1:31">
      <c r="A89" s="85"/>
      <c r="B89" s="86"/>
      <c r="C89" s="86"/>
      <c r="D89" s="75"/>
      <c r="E89" s="75"/>
      <c r="F89" s="86"/>
      <c r="G89" s="86"/>
      <c r="H89" s="86"/>
      <c r="I89" s="86"/>
      <c r="J89" s="86"/>
      <c r="K89" s="86"/>
      <c r="L89" s="86"/>
      <c r="M89" s="86"/>
      <c r="N89" s="86"/>
      <c r="O89" s="86"/>
      <c r="P89" s="87"/>
      <c r="Q89" s="87"/>
      <c r="R89" s="87"/>
      <c r="S89" s="86"/>
      <c r="T89" s="86"/>
      <c r="U89" s="86"/>
      <c r="V89" s="86"/>
      <c r="W89" s="86"/>
      <c r="X89" s="88"/>
      <c r="Y89" s="86"/>
      <c r="Z89" s="86"/>
      <c r="AA89" s="86"/>
      <c r="AB89" s="86"/>
      <c r="AC89" s="86"/>
      <c r="AD89" s="86"/>
      <c r="AE89" s="86"/>
    </row>
    <row r="90" spans="1:31">
      <c r="A90" s="85"/>
      <c r="B90" s="86"/>
      <c r="C90" s="86"/>
      <c r="D90" s="75"/>
      <c r="E90" s="75"/>
      <c r="F90" s="86"/>
      <c r="G90" s="86"/>
      <c r="H90" s="86"/>
      <c r="I90" s="86"/>
      <c r="J90" s="86"/>
      <c r="K90" s="86"/>
      <c r="L90" s="86"/>
      <c r="M90" s="86"/>
      <c r="N90" s="86"/>
      <c r="O90" s="86"/>
      <c r="P90" s="87"/>
      <c r="Q90" s="87"/>
      <c r="R90" s="87"/>
      <c r="S90" s="86"/>
      <c r="T90" s="86"/>
      <c r="U90" s="86"/>
      <c r="V90" s="86"/>
      <c r="W90" s="86"/>
      <c r="X90" s="88"/>
      <c r="Y90" s="86"/>
      <c r="Z90" s="86"/>
      <c r="AA90" s="86"/>
      <c r="AB90" s="86"/>
      <c r="AC90" s="86"/>
      <c r="AD90" s="86"/>
      <c r="AE90" s="86"/>
    </row>
    <row r="91" spans="1:31">
      <c r="A91" s="85"/>
      <c r="B91" s="86"/>
      <c r="C91" s="86"/>
      <c r="D91" s="75"/>
      <c r="E91" s="75"/>
      <c r="F91" s="86"/>
      <c r="G91" s="86"/>
      <c r="H91" s="86"/>
      <c r="I91" s="86"/>
      <c r="J91" s="86"/>
      <c r="K91" s="86"/>
      <c r="L91" s="86"/>
      <c r="M91" s="86"/>
      <c r="N91" s="86"/>
      <c r="O91" s="86"/>
      <c r="P91" s="87"/>
      <c r="Q91" s="87"/>
      <c r="R91" s="87"/>
      <c r="S91" s="86"/>
      <c r="T91" s="86"/>
      <c r="U91" s="86"/>
      <c r="V91" s="86"/>
      <c r="W91" s="86"/>
      <c r="X91" s="88"/>
      <c r="Y91" s="86"/>
      <c r="Z91" s="86"/>
      <c r="AA91" s="86"/>
      <c r="AB91" s="86"/>
      <c r="AC91" s="86"/>
      <c r="AD91" s="86"/>
      <c r="AE91" s="86"/>
    </row>
    <row r="92" spans="1:31">
      <c r="A92" s="85"/>
      <c r="B92" s="86"/>
      <c r="C92" s="86"/>
      <c r="D92" s="75"/>
      <c r="E92" s="75"/>
      <c r="F92" s="86"/>
      <c r="G92" s="86"/>
      <c r="H92" s="86"/>
      <c r="I92" s="86"/>
      <c r="J92" s="86"/>
      <c r="K92" s="93"/>
      <c r="L92" s="86"/>
      <c r="M92" s="86"/>
      <c r="N92" s="86"/>
      <c r="O92" s="86"/>
      <c r="P92" s="87"/>
      <c r="Q92" s="87"/>
      <c r="R92" s="87"/>
      <c r="S92" s="86"/>
      <c r="T92" s="86"/>
      <c r="U92" s="86"/>
      <c r="V92" s="93"/>
      <c r="W92" s="86"/>
      <c r="X92" s="88"/>
      <c r="Y92" s="86"/>
      <c r="Z92" s="86"/>
      <c r="AA92" s="86"/>
      <c r="AB92" s="86"/>
      <c r="AC92" s="86"/>
      <c r="AD92" s="86"/>
      <c r="AE92" s="86"/>
    </row>
    <row r="93" spans="1:31">
      <c r="A93" s="85"/>
      <c r="B93" s="86"/>
      <c r="C93" s="86"/>
      <c r="D93" s="75"/>
      <c r="E93" s="75"/>
      <c r="F93" s="86"/>
      <c r="G93" s="86"/>
      <c r="H93" s="86"/>
      <c r="I93" s="86"/>
      <c r="J93" s="86"/>
      <c r="K93" s="86"/>
      <c r="L93" s="86"/>
      <c r="M93" s="86"/>
      <c r="N93" s="86"/>
      <c r="O93" s="86"/>
      <c r="P93" s="87"/>
      <c r="Q93" s="87"/>
      <c r="R93" s="87"/>
      <c r="S93" s="86"/>
      <c r="T93" s="86"/>
      <c r="U93" s="86"/>
      <c r="V93" s="86"/>
      <c r="W93" s="86"/>
      <c r="X93" s="88"/>
      <c r="Y93" s="86"/>
      <c r="Z93" s="86"/>
      <c r="AA93" s="86"/>
      <c r="AB93" s="86"/>
      <c r="AC93" s="86"/>
      <c r="AD93" s="86"/>
      <c r="AE93" s="86"/>
    </row>
    <row r="94" spans="1:31">
      <c r="A94" s="85"/>
      <c r="B94" s="86"/>
      <c r="C94" s="86"/>
      <c r="D94" s="75"/>
      <c r="E94" s="75"/>
      <c r="F94" s="86"/>
      <c r="G94" s="86"/>
      <c r="H94" s="86"/>
      <c r="I94" s="93"/>
      <c r="J94" s="86"/>
      <c r="K94" s="93"/>
      <c r="L94" s="86"/>
      <c r="M94" s="93"/>
      <c r="N94" s="86"/>
      <c r="O94" s="93"/>
      <c r="P94" s="87"/>
      <c r="Q94" s="87"/>
      <c r="R94" s="87"/>
      <c r="S94" s="86"/>
      <c r="T94" s="86"/>
      <c r="U94" s="86"/>
      <c r="V94" s="86"/>
      <c r="W94" s="86"/>
      <c r="X94" s="88"/>
      <c r="Y94" s="86"/>
      <c r="Z94" s="86"/>
      <c r="AA94" s="86"/>
      <c r="AB94" s="86"/>
      <c r="AC94" s="86"/>
      <c r="AD94" s="86"/>
      <c r="AE94" s="86"/>
    </row>
    <row r="95" spans="1:31">
      <c r="A95" s="85"/>
      <c r="B95" s="86"/>
      <c r="C95" s="86"/>
      <c r="D95" s="75"/>
      <c r="E95" s="75"/>
      <c r="F95" s="86"/>
      <c r="G95" s="88"/>
      <c r="H95" s="86"/>
      <c r="I95" s="86"/>
      <c r="J95" s="86"/>
      <c r="K95" s="86"/>
      <c r="L95" s="86"/>
      <c r="M95" s="86"/>
      <c r="N95" s="86"/>
      <c r="O95" s="86"/>
      <c r="P95" s="87"/>
      <c r="Q95" s="87"/>
      <c r="R95" s="87"/>
      <c r="S95" s="86"/>
      <c r="T95" s="86"/>
      <c r="U95" s="86"/>
      <c r="V95" s="86"/>
      <c r="W95" s="86"/>
      <c r="X95" s="88"/>
      <c r="Y95" s="86"/>
      <c r="Z95" s="86"/>
      <c r="AA95" s="86"/>
      <c r="AB95" s="86"/>
      <c r="AC95" s="86"/>
      <c r="AD95" s="86"/>
      <c r="AE95" s="86"/>
    </row>
    <row r="96" spans="1:31">
      <c r="A96" s="85"/>
      <c r="B96" s="86"/>
      <c r="C96" s="86"/>
      <c r="D96" s="75"/>
      <c r="E96" s="75"/>
      <c r="F96" s="86"/>
      <c r="G96" s="93"/>
      <c r="H96" s="86"/>
      <c r="I96" s="93"/>
      <c r="J96" s="86"/>
      <c r="K96" s="86"/>
      <c r="L96" s="86"/>
      <c r="M96" s="93"/>
      <c r="N96" s="86"/>
      <c r="O96" s="86"/>
      <c r="P96" s="87"/>
      <c r="Q96" s="87"/>
      <c r="R96" s="87"/>
      <c r="S96" s="86"/>
      <c r="T96" s="96"/>
      <c r="U96" s="86"/>
      <c r="V96" s="93"/>
      <c r="W96" s="86"/>
      <c r="X96" s="88"/>
      <c r="Y96" s="86"/>
      <c r="Z96" s="86"/>
      <c r="AA96" s="86"/>
      <c r="AB96" s="86"/>
      <c r="AC96" s="86"/>
      <c r="AD96" s="86"/>
      <c r="AE96" s="86"/>
    </row>
    <row r="97" spans="1:31">
      <c r="A97" s="85"/>
      <c r="B97" s="86"/>
      <c r="C97" s="86"/>
      <c r="D97" s="75"/>
      <c r="E97" s="75"/>
      <c r="F97" s="86"/>
      <c r="G97" s="86"/>
      <c r="H97" s="86"/>
      <c r="I97" s="90"/>
      <c r="J97" s="86"/>
      <c r="K97" s="93"/>
      <c r="L97" s="86"/>
      <c r="M97" s="93"/>
      <c r="N97" s="86"/>
      <c r="O97" s="97"/>
      <c r="P97" s="87"/>
      <c r="Q97" s="87"/>
      <c r="R97" s="87"/>
      <c r="S97" s="86"/>
      <c r="T97" s="86"/>
      <c r="U97" s="86"/>
      <c r="V97" s="86"/>
      <c r="W97" s="86"/>
      <c r="X97" s="88"/>
      <c r="Y97" s="86"/>
      <c r="Z97" s="86"/>
      <c r="AA97" s="86"/>
      <c r="AB97" s="86"/>
      <c r="AC97" s="86"/>
      <c r="AD97" s="86"/>
      <c r="AE97" s="86"/>
    </row>
    <row r="98" spans="1:31">
      <c r="A98" s="85"/>
      <c r="B98" s="86"/>
      <c r="C98" s="86"/>
      <c r="D98" s="75"/>
      <c r="E98" s="75"/>
      <c r="F98" s="86"/>
      <c r="G98" s="86"/>
      <c r="H98" s="86"/>
      <c r="I98" s="86"/>
      <c r="J98" s="86"/>
      <c r="K98" s="86"/>
      <c r="L98" s="86"/>
      <c r="M98" s="86"/>
      <c r="N98" s="86"/>
      <c r="O98" s="86"/>
      <c r="P98" s="87"/>
      <c r="Q98" s="87"/>
      <c r="R98" s="87"/>
      <c r="S98" s="86"/>
      <c r="T98" s="86"/>
      <c r="U98" s="86"/>
      <c r="V98" s="86"/>
      <c r="W98" s="86"/>
      <c r="X98" s="88"/>
      <c r="Y98" s="86"/>
      <c r="Z98" s="86"/>
      <c r="AA98" s="86"/>
      <c r="AB98" s="86"/>
      <c r="AC98" s="86"/>
      <c r="AD98" s="86"/>
      <c r="AE98" s="86"/>
    </row>
    <row r="99" spans="1:31">
      <c r="A99" s="85"/>
      <c r="B99" s="86"/>
      <c r="C99" s="86"/>
      <c r="D99" s="75"/>
      <c r="E99" s="75"/>
      <c r="F99" s="86"/>
      <c r="G99" s="86"/>
      <c r="H99" s="86"/>
      <c r="I99" s="86"/>
      <c r="J99" s="86"/>
      <c r="K99" s="86"/>
      <c r="L99" s="86"/>
      <c r="M99" s="86"/>
      <c r="N99" s="86"/>
      <c r="O99" s="86"/>
      <c r="P99" s="87"/>
      <c r="Q99" s="87"/>
      <c r="R99" s="87"/>
      <c r="S99" s="86"/>
      <c r="T99" s="86"/>
      <c r="U99" s="86"/>
      <c r="V99" s="86"/>
      <c r="W99" s="86"/>
      <c r="X99" s="88"/>
      <c r="Y99" s="86"/>
      <c r="Z99" s="86"/>
      <c r="AA99" s="86"/>
      <c r="AB99" s="86"/>
      <c r="AC99" s="86"/>
      <c r="AD99" s="86"/>
      <c r="AE99" s="86"/>
    </row>
    <row r="100" spans="1:31">
      <c r="A100" s="85"/>
      <c r="B100" s="86"/>
      <c r="C100" s="86"/>
      <c r="D100" s="75"/>
      <c r="E100" s="75"/>
      <c r="F100" s="86"/>
      <c r="G100" s="86"/>
      <c r="H100" s="86"/>
      <c r="I100" s="86"/>
      <c r="J100" s="86"/>
      <c r="K100" s="86"/>
      <c r="L100" s="86"/>
      <c r="M100" s="86"/>
      <c r="N100" s="86"/>
      <c r="O100" s="86"/>
      <c r="P100" s="87"/>
      <c r="Q100" s="87"/>
      <c r="R100" s="87"/>
      <c r="S100" s="86"/>
      <c r="T100" s="86"/>
      <c r="U100" s="86"/>
      <c r="V100" s="86"/>
      <c r="W100" s="86"/>
      <c r="X100" s="88"/>
      <c r="Y100" s="86"/>
      <c r="Z100" s="86"/>
      <c r="AA100" s="86"/>
      <c r="AB100" s="86"/>
      <c r="AC100" s="86"/>
      <c r="AD100" s="86"/>
      <c r="AE100" s="86"/>
    </row>
    <row r="101" spans="1:31">
      <c r="A101" s="85"/>
      <c r="B101" s="86"/>
      <c r="C101" s="86"/>
      <c r="D101" s="75"/>
      <c r="E101" s="75"/>
      <c r="F101" s="86"/>
      <c r="G101" s="86"/>
      <c r="H101" s="86"/>
      <c r="I101" s="86"/>
      <c r="J101" s="86"/>
      <c r="K101" s="86"/>
      <c r="L101" s="86"/>
      <c r="M101" s="86"/>
      <c r="N101" s="86"/>
      <c r="O101" s="86"/>
      <c r="P101" s="87"/>
      <c r="Q101" s="87"/>
      <c r="R101" s="87"/>
      <c r="S101" s="86"/>
      <c r="T101" s="86"/>
      <c r="U101" s="86"/>
      <c r="V101" s="86"/>
      <c r="W101" s="86"/>
      <c r="X101" s="88"/>
      <c r="Y101" s="86"/>
      <c r="Z101" s="86"/>
      <c r="AA101" s="86"/>
      <c r="AB101" s="86"/>
      <c r="AC101" s="86"/>
      <c r="AD101" s="86"/>
      <c r="AE101" s="86"/>
    </row>
    <row r="102" spans="1:31">
      <c r="A102" s="85"/>
      <c r="B102" s="86"/>
      <c r="C102" s="86"/>
      <c r="D102" s="75"/>
      <c r="E102" s="75"/>
      <c r="F102" s="86"/>
      <c r="G102" s="86"/>
      <c r="H102" s="86"/>
      <c r="I102" s="91"/>
      <c r="J102" s="86"/>
      <c r="K102" s="86"/>
      <c r="L102" s="86"/>
      <c r="M102" s="86"/>
      <c r="N102" s="86"/>
      <c r="O102" s="86"/>
      <c r="P102" s="87"/>
      <c r="Q102" s="87"/>
      <c r="R102" s="87"/>
      <c r="S102" s="86"/>
      <c r="T102" s="86"/>
      <c r="U102" s="86"/>
      <c r="V102" s="86"/>
      <c r="W102" s="86"/>
      <c r="X102" s="88"/>
      <c r="Y102" s="86"/>
      <c r="Z102" s="86"/>
      <c r="AA102" s="86"/>
      <c r="AB102" s="86"/>
      <c r="AC102" s="86"/>
      <c r="AD102" s="86"/>
      <c r="AE102" s="86"/>
    </row>
    <row r="103" spans="1:31">
      <c r="A103" s="85"/>
      <c r="B103" s="86"/>
      <c r="C103" s="86"/>
      <c r="D103" s="75"/>
      <c r="E103" s="75"/>
      <c r="F103" s="86"/>
      <c r="G103" s="86"/>
      <c r="H103" s="86"/>
      <c r="I103" s="93"/>
      <c r="J103" s="86"/>
      <c r="K103" s="93"/>
      <c r="L103" s="86"/>
      <c r="M103" s="93"/>
      <c r="N103" s="86"/>
      <c r="O103" s="93"/>
      <c r="P103" s="87"/>
      <c r="Q103" s="87"/>
      <c r="R103" s="87"/>
      <c r="S103" s="86"/>
      <c r="T103" s="86"/>
      <c r="U103" s="93"/>
      <c r="V103" s="93"/>
      <c r="W103" s="86"/>
      <c r="X103" s="88"/>
      <c r="Y103" s="86"/>
      <c r="Z103" s="86"/>
      <c r="AA103" s="86"/>
      <c r="AB103" s="86"/>
      <c r="AC103" s="86"/>
      <c r="AD103" s="86"/>
      <c r="AE103" s="86"/>
    </row>
    <row r="104" spans="1:31">
      <c r="A104" s="85"/>
      <c r="B104" s="86"/>
      <c r="C104" s="86"/>
      <c r="D104" s="75"/>
      <c r="E104" s="75"/>
      <c r="F104" s="86"/>
      <c r="G104" s="86"/>
      <c r="H104" s="86"/>
      <c r="I104" s="86"/>
      <c r="J104" s="86"/>
      <c r="K104" s="86"/>
      <c r="L104" s="86"/>
      <c r="M104" s="86"/>
      <c r="N104" s="86"/>
      <c r="O104" s="86"/>
      <c r="P104" s="87"/>
      <c r="Q104" s="87"/>
      <c r="R104" s="87"/>
      <c r="S104" s="86"/>
      <c r="T104" s="86"/>
      <c r="U104" s="86"/>
      <c r="V104" s="86"/>
      <c r="W104" s="86"/>
      <c r="X104" s="98"/>
      <c r="Y104" s="86"/>
      <c r="Z104" s="86"/>
      <c r="AA104" s="86"/>
      <c r="AB104" s="86"/>
      <c r="AC104" s="86"/>
      <c r="AD104" s="86"/>
      <c r="AE104" s="86"/>
    </row>
    <row r="105" spans="1:31">
      <c r="A105" s="85"/>
      <c r="B105" s="86"/>
      <c r="C105" s="86"/>
      <c r="D105" s="75"/>
      <c r="E105" s="75"/>
      <c r="F105" s="86"/>
      <c r="G105" s="86"/>
      <c r="H105" s="86"/>
      <c r="I105" s="93"/>
      <c r="J105" s="86"/>
      <c r="K105" s="93"/>
      <c r="L105" s="86"/>
      <c r="M105" s="93"/>
      <c r="N105" s="86"/>
      <c r="O105" s="93"/>
      <c r="P105" s="87"/>
      <c r="Q105" s="87"/>
      <c r="R105" s="87"/>
      <c r="S105" s="86"/>
      <c r="T105" s="86"/>
      <c r="U105" s="93"/>
      <c r="V105" s="93"/>
      <c r="W105" s="86"/>
      <c r="X105" s="88"/>
      <c r="Y105" s="86"/>
      <c r="Z105" s="86"/>
      <c r="AA105" s="86"/>
      <c r="AB105" s="86"/>
      <c r="AC105" s="86"/>
      <c r="AD105" s="86"/>
      <c r="AE105" s="86"/>
    </row>
    <row r="106" spans="1:31">
      <c r="A106" s="85"/>
      <c r="B106" s="86"/>
      <c r="C106" s="86"/>
      <c r="D106" s="75"/>
      <c r="E106" s="75"/>
      <c r="F106" s="86"/>
      <c r="G106" s="86"/>
      <c r="H106" s="86"/>
      <c r="I106" s="86"/>
      <c r="J106" s="86"/>
      <c r="K106" s="86"/>
      <c r="L106" s="86"/>
      <c r="M106" s="86"/>
      <c r="N106" s="86"/>
      <c r="O106" s="86"/>
      <c r="P106" s="87"/>
      <c r="Q106" s="87"/>
      <c r="R106" s="87"/>
      <c r="S106" s="86"/>
      <c r="T106" s="86"/>
      <c r="U106" s="86"/>
      <c r="V106" s="86"/>
      <c r="W106" s="86"/>
      <c r="X106" s="88"/>
      <c r="Y106" s="86"/>
      <c r="Z106" s="86"/>
      <c r="AA106" s="86"/>
      <c r="AB106" s="86"/>
      <c r="AC106" s="86"/>
      <c r="AD106" s="86"/>
      <c r="AE106" s="86"/>
    </row>
    <row r="107" spans="1:31">
      <c r="A107" s="85"/>
      <c r="B107" s="86"/>
      <c r="C107" s="86"/>
      <c r="D107" s="75"/>
      <c r="E107" s="75"/>
      <c r="F107" s="86"/>
      <c r="G107" s="86"/>
      <c r="H107" s="86"/>
      <c r="I107" s="86"/>
      <c r="J107" s="86"/>
      <c r="K107" s="93"/>
      <c r="L107" s="86"/>
      <c r="M107" s="86"/>
      <c r="N107" s="86"/>
      <c r="O107" s="86"/>
      <c r="P107" s="87"/>
      <c r="Q107" s="87"/>
      <c r="R107" s="87"/>
      <c r="S107" s="86"/>
      <c r="T107" s="86"/>
      <c r="U107" s="86"/>
      <c r="V107" s="86"/>
      <c r="W107" s="86"/>
      <c r="X107" s="88"/>
      <c r="Y107" s="86"/>
      <c r="Z107" s="86"/>
      <c r="AA107" s="86"/>
      <c r="AB107" s="86"/>
      <c r="AC107" s="86"/>
      <c r="AD107" s="86"/>
      <c r="AE107" s="86"/>
    </row>
    <row r="108" spans="1:31">
      <c r="A108" s="85"/>
      <c r="B108" s="86"/>
      <c r="C108" s="86"/>
      <c r="D108" s="75"/>
      <c r="E108" s="75"/>
      <c r="F108" s="86"/>
      <c r="G108" s="86"/>
      <c r="H108" s="86"/>
      <c r="I108" s="86"/>
      <c r="J108" s="86"/>
      <c r="K108" s="86"/>
      <c r="L108" s="86"/>
      <c r="M108" s="86"/>
      <c r="N108" s="86"/>
      <c r="O108" s="86"/>
      <c r="P108" s="87"/>
      <c r="Q108" s="87"/>
      <c r="R108" s="87"/>
      <c r="S108" s="86"/>
      <c r="T108" s="86"/>
      <c r="U108" s="86"/>
      <c r="V108" s="86"/>
      <c r="W108" s="86"/>
      <c r="X108" s="88"/>
      <c r="Y108" s="86"/>
      <c r="Z108" s="86"/>
      <c r="AA108" s="86"/>
      <c r="AB108" s="86"/>
      <c r="AC108" s="86"/>
      <c r="AD108" s="86"/>
      <c r="AE108" s="86"/>
    </row>
    <row r="109" spans="1:31">
      <c r="A109" s="85"/>
      <c r="B109" s="86"/>
      <c r="C109" s="86"/>
      <c r="D109" s="75"/>
      <c r="E109" s="75"/>
      <c r="F109" s="86"/>
      <c r="G109" s="86"/>
      <c r="H109" s="86"/>
      <c r="I109" s="86"/>
      <c r="J109" s="86"/>
      <c r="K109" s="93"/>
      <c r="L109" s="86"/>
      <c r="M109" s="86"/>
      <c r="N109" s="86"/>
      <c r="O109" s="86"/>
      <c r="P109" s="87"/>
      <c r="Q109" s="87"/>
      <c r="R109" s="87"/>
      <c r="S109" s="86"/>
      <c r="T109" s="86"/>
      <c r="U109" s="86"/>
      <c r="V109" s="86"/>
      <c r="W109" s="86"/>
      <c r="X109" s="88"/>
      <c r="Y109" s="86"/>
      <c r="Z109" s="86"/>
      <c r="AA109" s="86"/>
      <c r="AB109" s="86"/>
      <c r="AC109" s="86"/>
      <c r="AD109" s="86"/>
      <c r="AE109" s="86"/>
    </row>
    <row r="110" spans="1:31">
      <c r="A110" s="85"/>
      <c r="B110" s="86"/>
      <c r="C110" s="86"/>
      <c r="D110" s="75"/>
      <c r="E110" s="75"/>
      <c r="F110" s="86"/>
      <c r="G110" s="86"/>
      <c r="H110" s="86"/>
      <c r="I110" s="86"/>
      <c r="J110" s="86"/>
      <c r="K110" s="86"/>
      <c r="L110" s="86"/>
      <c r="M110" s="86"/>
      <c r="N110" s="86"/>
      <c r="O110" s="86"/>
      <c r="P110" s="87"/>
      <c r="Q110" s="87"/>
      <c r="R110" s="87"/>
      <c r="S110" s="86"/>
      <c r="T110" s="86"/>
      <c r="U110" s="86"/>
      <c r="V110" s="86"/>
      <c r="W110" s="86"/>
      <c r="X110" s="88"/>
      <c r="Y110" s="86"/>
      <c r="Z110" s="86"/>
      <c r="AA110" s="86"/>
      <c r="AB110" s="86"/>
      <c r="AC110" s="86"/>
      <c r="AD110" s="86"/>
      <c r="AE110" s="86"/>
    </row>
    <row r="111" spans="1:31">
      <c r="A111" s="85"/>
      <c r="B111" s="86"/>
      <c r="C111" s="86"/>
      <c r="D111" s="75"/>
      <c r="E111" s="75"/>
      <c r="F111" s="86"/>
      <c r="G111" s="86"/>
      <c r="H111" s="86"/>
      <c r="I111" s="86"/>
      <c r="J111" s="86"/>
      <c r="K111" s="93"/>
      <c r="L111" s="86"/>
      <c r="M111" s="86"/>
      <c r="N111" s="86"/>
      <c r="O111" s="86"/>
      <c r="P111" s="87"/>
      <c r="Q111" s="87"/>
      <c r="R111" s="87"/>
      <c r="S111" s="86"/>
      <c r="T111" s="86"/>
      <c r="U111" s="86"/>
      <c r="V111" s="86"/>
      <c r="W111" s="86"/>
      <c r="X111" s="88"/>
      <c r="Y111" s="86"/>
      <c r="Z111" s="86"/>
      <c r="AA111" s="86"/>
      <c r="AB111" s="86"/>
      <c r="AC111" s="86"/>
      <c r="AD111" s="86"/>
      <c r="AE111" s="86"/>
    </row>
    <row r="112" spans="1:31">
      <c r="A112" s="85"/>
      <c r="B112" s="86"/>
      <c r="C112" s="86"/>
      <c r="D112" s="75"/>
      <c r="E112" s="75"/>
      <c r="F112" s="86"/>
      <c r="G112" s="93"/>
      <c r="H112" s="86"/>
      <c r="I112" s="93"/>
      <c r="J112" s="86"/>
      <c r="K112" s="86"/>
      <c r="L112" s="86"/>
      <c r="M112" s="93"/>
      <c r="N112" s="86"/>
      <c r="O112" s="93"/>
      <c r="P112" s="87"/>
      <c r="Q112" s="87"/>
      <c r="R112" s="87"/>
      <c r="S112" s="86"/>
      <c r="T112" s="99"/>
      <c r="U112" s="86"/>
      <c r="V112" s="99"/>
      <c r="W112" s="86"/>
      <c r="X112" s="88"/>
      <c r="Y112" s="86"/>
      <c r="Z112" s="86"/>
      <c r="AA112" s="86"/>
      <c r="AB112" s="86"/>
      <c r="AC112" s="86"/>
      <c r="AD112" s="86"/>
      <c r="AE112" s="86"/>
    </row>
    <row r="113" spans="1:31">
      <c r="A113" s="85"/>
      <c r="B113" s="86"/>
      <c r="C113" s="86"/>
      <c r="D113" s="75"/>
      <c r="E113" s="75"/>
      <c r="F113" s="86"/>
      <c r="G113" s="93"/>
      <c r="H113" s="86"/>
      <c r="I113" s="86"/>
      <c r="J113" s="86"/>
      <c r="K113" s="86"/>
      <c r="L113" s="86"/>
      <c r="M113" s="86"/>
      <c r="N113" s="86"/>
      <c r="O113" s="86"/>
      <c r="P113" s="87"/>
      <c r="Q113" s="87"/>
      <c r="R113" s="87"/>
      <c r="S113" s="86"/>
      <c r="T113" s="86"/>
      <c r="U113" s="86"/>
      <c r="V113" s="86"/>
      <c r="W113" s="86"/>
      <c r="X113" s="88"/>
      <c r="Y113" s="86"/>
      <c r="Z113" s="86"/>
      <c r="AA113" s="86"/>
      <c r="AB113" s="86"/>
      <c r="AC113" s="86"/>
      <c r="AD113" s="86"/>
      <c r="AE113" s="86"/>
    </row>
    <row r="114" spans="1:31">
      <c r="A114" s="85"/>
      <c r="B114" s="86"/>
      <c r="C114" s="86"/>
      <c r="D114" s="75"/>
      <c r="E114" s="75"/>
      <c r="F114" s="86"/>
      <c r="G114" s="86"/>
      <c r="H114" s="86"/>
      <c r="I114" s="86"/>
      <c r="J114" s="86"/>
      <c r="K114" s="93"/>
      <c r="L114" s="86"/>
      <c r="M114" s="86"/>
      <c r="N114" s="86"/>
      <c r="O114" s="86"/>
      <c r="P114" s="87"/>
      <c r="Q114" s="87"/>
      <c r="R114" s="87"/>
      <c r="S114" s="86"/>
      <c r="T114" s="86"/>
      <c r="U114" s="86"/>
      <c r="V114" s="86"/>
      <c r="W114" s="86"/>
      <c r="X114" s="88"/>
      <c r="Y114" s="86"/>
      <c r="Z114" s="86"/>
      <c r="AA114" s="86"/>
      <c r="AB114" s="86"/>
      <c r="AC114" s="86"/>
      <c r="AD114" s="86"/>
      <c r="AE114" s="86"/>
    </row>
    <row r="115" spans="1:31">
      <c r="A115" s="85"/>
      <c r="B115" s="86"/>
      <c r="C115" s="86"/>
      <c r="D115" s="75"/>
      <c r="E115" s="75"/>
      <c r="F115" s="86"/>
      <c r="G115" s="86"/>
      <c r="H115" s="86"/>
      <c r="I115" s="86"/>
      <c r="J115" s="86"/>
      <c r="K115" s="93"/>
      <c r="L115" s="86"/>
      <c r="M115" s="86"/>
      <c r="N115" s="86"/>
      <c r="O115" s="86"/>
      <c r="P115" s="87"/>
      <c r="Q115" s="87"/>
      <c r="R115" s="87"/>
      <c r="S115" s="86"/>
      <c r="T115" s="86"/>
      <c r="U115" s="86"/>
      <c r="V115" s="86"/>
      <c r="W115" s="86"/>
      <c r="X115" s="88"/>
      <c r="Y115" s="86"/>
      <c r="Z115" s="86"/>
      <c r="AA115" s="86"/>
      <c r="AB115" s="86"/>
      <c r="AC115" s="86"/>
      <c r="AD115" s="86"/>
      <c r="AE115" s="86"/>
    </row>
    <row r="116" spans="1:31">
      <c r="A116" s="85"/>
      <c r="B116" s="86"/>
      <c r="C116" s="86"/>
      <c r="D116" s="75"/>
      <c r="E116" s="75"/>
      <c r="F116" s="86"/>
      <c r="G116" s="86"/>
      <c r="H116" s="86"/>
      <c r="I116" s="86"/>
      <c r="J116" s="86"/>
      <c r="K116" s="86"/>
      <c r="L116" s="86"/>
      <c r="M116" s="86"/>
      <c r="N116" s="86"/>
      <c r="O116" s="86"/>
      <c r="P116" s="87"/>
      <c r="Q116" s="87"/>
      <c r="R116" s="87"/>
      <c r="S116" s="86"/>
      <c r="T116" s="86"/>
      <c r="U116" s="86"/>
      <c r="V116" s="86"/>
      <c r="W116" s="86"/>
      <c r="X116" s="88"/>
      <c r="Y116" s="86"/>
      <c r="Z116" s="86"/>
      <c r="AA116" s="86"/>
      <c r="AB116" s="86"/>
      <c r="AC116" s="86"/>
      <c r="AD116" s="86"/>
      <c r="AE116" s="86"/>
    </row>
    <row r="117" spans="1:31">
      <c r="A117" s="85"/>
      <c r="B117" s="86"/>
      <c r="C117" s="86"/>
      <c r="D117" s="75"/>
      <c r="E117" s="75"/>
      <c r="F117" s="86"/>
      <c r="G117" s="86"/>
      <c r="H117" s="86"/>
      <c r="I117" s="86"/>
      <c r="J117" s="86"/>
      <c r="K117" s="93"/>
      <c r="L117" s="86"/>
      <c r="M117" s="86"/>
      <c r="N117" s="86"/>
      <c r="O117" s="86"/>
      <c r="P117" s="87"/>
      <c r="Q117" s="87"/>
      <c r="R117" s="87"/>
      <c r="S117" s="86"/>
      <c r="T117" s="86"/>
      <c r="U117" s="86"/>
      <c r="V117" s="86"/>
      <c r="W117" s="86"/>
      <c r="X117" s="88"/>
      <c r="Y117" s="86"/>
      <c r="Z117" s="86"/>
      <c r="AA117" s="86"/>
      <c r="AB117" s="86"/>
      <c r="AC117" s="86"/>
      <c r="AD117" s="86"/>
      <c r="AE117" s="86"/>
    </row>
    <row r="118" spans="1:31">
      <c r="A118" s="85"/>
      <c r="B118" s="86"/>
      <c r="C118" s="86"/>
      <c r="D118" s="75"/>
      <c r="E118" s="75"/>
      <c r="F118" s="86"/>
      <c r="G118" s="86"/>
      <c r="H118" s="86"/>
      <c r="I118" s="86"/>
      <c r="J118" s="86"/>
      <c r="K118" s="86"/>
      <c r="L118" s="86"/>
      <c r="M118" s="86"/>
      <c r="N118" s="86"/>
      <c r="O118" s="86"/>
      <c r="P118" s="87"/>
      <c r="Q118" s="87"/>
      <c r="R118" s="87"/>
      <c r="S118" s="86"/>
      <c r="T118" s="86"/>
      <c r="U118" s="86"/>
      <c r="V118" s="86"/>
      <c r="W118" s="86"/>
      <c r="X118" s="88"/>
      <c r="Y118" s="86"/>
      <c r="Z118" s="86"/>
      <c r="AA118" s="86"/>
      <c r="AB118" s="86"/>
      <c r="AC118" s="86"/>
      <c r="AD118" s="86"/>
      <c r="AE118" s="86"/>
    </row>
    <row r="119" spans="1:31">
      <c r="A119" s="86"/>
      <c r="B119" s="86"/>
      <c r="C119" s="86"/>
      <c r="D119" s="75"/>
      <c r="E119" s="75"/>
      <c r="F119" s="86"/>
      <c r="G119" s="86"/>
      <c r="H119" s="86"/>
      <c r="I119" s="86"/>
      <c r="J119" s="86"/>
      <c r="K119" s="86"/>
      <c r="L119" s="86"/>
      <c r="M119" s="86"/>
      <c r="N119" s="86"/>
      <c r="O119" s="86"/>
      <c r="P119" s="87"/>
      <c r="Q119" s="87"/>
      <c r="R119" s="87"/>
      <c r="S119" s="86"/>
      <c r="T119" s="86"/>
      <c r="U119" s="86"/>
      <c r="V119" s="86"/>
      <c r="W119" s="86"/>
      <c r="X119" s="88"/>
      <c r="Y119" s="86"/>
      <c r="Z119" s="86"/>
      <c r="AA119" s="86"/>
      <c r="AB119" s="86"/>
      <c r="AC119" s="86"/>
      <c r="AD119" s="86"/>
      <c r="AE119" s="86"/>
    </row>
    <row r="120" spans="1:31">
      <c r="A120" s="85"/>
      <c r="B120" s="86"/>
      <c r="C120" s="86"/>
      <c r="D120" s="75"/>
      <c r="E120" s="75"/>
      <c r="F120" s="86"/>
      <c r="G120" s="86"/>
      <c r="H120" s="86"/>
      <c r="I120" s="86"/>
      <c r="J120" s="86"/>
      <c r="K120" s="86"/>
      <c r="L120" s="86"/>
      <c r="M120" s="86"/>
      <c r="N120" s="86"/>
      <c r="O120" s="86"/>
      <c r="P120" s="87"/>
      <c r="Q120" s="87"/>
      <c r="R120" s="87"/>
      <c r="S120" s="86"/>
      <c r="T120" s="86"/>
      <c r="U120" s="86"/>
      <c r="V120" s="86"/>
      <c r="W120" s="86"/>
      <c r="X120" s="88"/>
      <c r="Y120" s="86"/>
      <c r="Z120" s="86"/>
      <c r="AA120" s="86"/>
      <c r="AB120" s="86"/>
      <c r="AC120" s="86"/>
      <c r="AD120" s="86"/>
      <c r="AE120" s="86"/>
    </row>
    <row r="121" spans="1:31">
      <c r="A121" s="85"/>
      <c r="B121" s="86"/>
      <c r="C121" s="86"/>
      <c r="D121" s="75"/>
      <c r="E121" s="75"/>
      <c r="F121" s="86"/>
      <c r="G121" s="86"/>
      <c r="H121" s="86"/>
      <c r="I121" s="86"/>
      <c r="J121" s="86"/>
      <c r="K121" s="86"/>
      <c r="L121" s="86"/>
      <c r="M121" s="86"/>
      <c r="N121" s="86"/>
      <c r="O121" s="86"/>
      <c r="P121" s="87"/>
      <c r="Q121" s="87"/>
      <c r="R121" s="87"/>
      <c r="S121" s="86"/>
      <c r="T121" s="86"/>
      <c r="U121" s="86"/>
      <c r="V121" s="86"/>
      <c r="W121" s="86"/>
      <c r="X121" s="88"/>
      <c r="Y121" s="86"/>
      <c r="Z121" s="86"/>
      <c r="AA121" s="86"/>
      <c r="AB121" s="86"/>
      <c r="AC121" s="86"/>
      <c r="AD121" s="86"/>
      <c r="AE121" s="86"/>
    </row>
    <row r="122" spans="1:31">
      <c r="A122" s="85"/>
      <c r="B122" s="86"/>
      <c r="C122" s="86"/>
      <c r="D122" s="75"/>
      <c r="E122" s="75"/>
      <c r="F122" s="86"/>
      <c r="G122" s="86"/>
      <c r="H122" s="86"/>
      <c r="I122" s="86"/>
      <c r="J122" s="86"/>
      <c r="K122" s="86"/>
      <c r="L122" s="86"/>
      <c r="M122" s="86"/>
      <c r="N122" s="86"/>
      <c r="O122" s="86"/>
      <c r="P122" s="87"/>
      <c r="Q122" s="87"/>
      <c r="R122" s="87"/>
      <c r="S122" s="86"/>
      <c r="T122" s="86"/>
      <c r="U122" s="86"/>
      <c r="V122" s="86"/>
      <c r="W122" s="86"/>
      <c r="X122" s="88"/>
      <c r="Y122" s="86"/>
      <c r="Z122" s="86"/>
      <c r="AA122" s="86"/>
      <c r="AB122" s="86"/>
      <c r="AC122" s="86"/>
      <c r="AD122" s="86"/>
      <c r="AE122" s="86"/>
    </row>
    <row r="123" spans="1:31">
      <c r="A123" s="85"/>
      <c r="B123" s="86"/>
      <c r="C123" s="86"/>
      <c r="D123" s="75"/>
      <c r="E123" s="75"/>
      <c r="F123" s="86"/>
      <c r="G123" s="86"/>
      <c r="H123" s="86"/>
      <c r="I123" s="86"/>
      <c r="J123" s="86"/>
      <c r="K123" s="93"/>
      <c r="L123" s="86"/>
      <c r="M123" s="86"/>
      <c r="N123" s="86"/>
      <c r="O123" s="86"/>
      <c r="P123" s="87"/>
      <c r="Q123" s="87"/>
      <c r="R123" s="87"/>
      <c r="S123" s="86"/>
      <c r="T123" s="86"/>
      <c r="U123" s="86"/>
      <c r="V123" s="86"/>
      <c r="W123" s="86"/>
      <c r="X123" s="88"/>
      <c r="Y123" s="86"/>
      <c r="Z123" s="86"/>
      <c r="AA123" s="86"/>
      <c r="AB123" s="86"/>
      <c r="AC123" s="86"/>
      <c r="AD123" s="86"/>
      <c r="AE123" s="86"/>
    </row>
    <row r="124" spans="1:31">
      <c r="A124" s="85"/>
      <c r="B124" s="86"/>
      <c r="C124" s="86"/>
      <c r="D124" s="75"/>
      <c r="E124" s="75"/>
      <c r="F124" s="86"/>
      <c r="G124" s="86"/>
      <c r="H124" s="86"/>
      <c r="I124" s="93"/>
      <c r="J124" s="86"/>
      <c r="K124" s="93"/>
      <c r="L124" s="86"/>
      <c r="M124" s="93"/>
      <c r="N124" s="86"/>
      <c r="O124" s="93"/>
      <c r="P124" s="87"/>
      <c r="Q124" s="87"/>
      <c r="R124" s="87"/>
      <c r="S124" s="86"/>
      <c r="T124" s="86"/>
      <c r="U124" s="86"/>
      <c r="V124" s="86"/>
      <c r="W124" s="86"/>
      <c r="X124" s="88"/>
      <c r="Y124" s="86"/>
      <c r="Z124" s="86"/>
      <c r="AA124" s="86"/>
      <c r="AB124" s="86"/>
      <c r="AC124" s="86"/>
      <c r="AD124" s="86"/>
      <c r="AE124" s="86"/>
    </row>
    <row r="125" spans="1:31">
      <c r="A125" s="85"/>
      <c r="B125" s="86"/>
      <c r="C125" s="86"/>
      <c r="D125" s="75"/>
      <c r="E125" s="75"/>
      <c r="F125" s="86"/>
      <c r="G125" s="86"/>
      <c r="H125" s="86"/>
      <c r="I125" s="86"/>
      <c r="J125" s="86"/>
      <c r="K125" s="93"/>
      <c r="L125" s="86"/>
      <c r="M125" s="86"/>
      <c r="N125" s="86"/>
      <c r="O125" s="86"/>
      <c r="P125" s="87"/>
      <c r="Q125" s="87"/>
      <c r="R125" s="87"/>
      <c r="S125" s="86"/>
      <c r="T125" s="86"/>
      <c r="U125" s="86"/>
      <c r="V125" s="86"/>
      <c r="W125" s="86"/>
      <c r="X125" s="88"/>
      <c r="Y125" s="86"/>
      <c r="Z125" s="86"/>
      <c r="AA125" s="86"/>
      <c r="AB125" s="86"/>
      <c r="AC125" s="86"/>
      <c r="AD125" s="86"/>
      <c r="AE125" s="86"/>
    </row>
    <row r="126" spans="1:31">
      <c r="A126" s="85"/>
      <c r="B126" s="86"/>
      <c r="C126" s="86"/>
      <c r="D126" s="75"/>
      <c r="E126" s="75"/>
      <c r="F126" s="86"/>
      <c r="G126" s="86"/>
      <c r="H126" s="86"/>
      <c r="I126" s="86"/>
      <c r="J126" s="86"/>
      <c r="K126" s="86"/>
      <c r="L126" s="86"/>
      <c r="M126" s="86"/>
      <c r="N126" s="86"/>
      <c r="O126" s="86"/>
      <c r="P126" s="87"/>
      <c r="Q126" s="87"/>
      <c r="R126" s="87"/>
      <c r="S126" s="86"/>
      <c r="T126" s="86"/>
      <c r="U126" s="86"/>
      <c r="V126" s="86"/>
      <c r="W126" s="86"/>
      <c r="X126" s="98"/>
      <c r="Y126" s="86"/>
      <c r="Z126" s="86"/>
      <c r="AA126" s="86"/>
      <c r="AB126" s="86"/>
      <c r="AC126" s="86"/>
      <c r="AD126" s="86"/>
      <c r="AE126" s="86"/>
    </row>
    <row r="127" spans="1:31">
      <c r="A127" s="85"/>
      <c r="B127" s="86"/>
      <c r="C127" s="86"/>
      <c r="D127" s="75"/>
      <c r="E127" s="75"/>
      <c r="F127" s="86"/>
      <c r="G127" s="86"/>
      <c r="H127" s="86"/>
      <c r="I127" s="86"/>
      <c r="J127" s="86"/>
      <c r="K127" s="93"/>
      <c r="L127" s="86"/>
      <c r="M127" s="86"/>
      <c r="N127" s="86"/>
      <c r="O127" s="86"/>
      <c r="P127" s="87"/>
      <c r="Q127" s="87"/>
      <c r="R127" s="87"/>
      <c r="S127" s="86"/>
      <c r="T127" s="86"/>
      <c r="U127" s="86"/>
      <c r="V127" s="86"/>
      <c r="W127" s="86"/>
      <c r="X127" s="88"/>
      <c r="Y127" s="86"/>
      <c r="Z127" s="86"/>
      <c r="AA127" s="86"/>
      <c r="AB127" s="86"/>
      <c r="AC127" s="86"/>
      <c r="AD127" s="86"/>
      <c r="AE127" s="86"/>
    </row>
    <row r="128" spans="1:31">
      <c r="A128" s="85"/>
      <c r="B128" s="86"/>
      <c r="C128" s="86"/>
      <c r="D128" s="75"/>
      <c r="E128" s="75"/>
      <c r="F128" s="86"/>
      <c r="G128" s="86"/>
      <c r="H128" s="86"/>
      <c r="I128" s="86"/>
      <c r="J128" s="86"/>
      <c r="K128" s="93"/>
      <c r="L128" s="86"/>
      <c r="M128" s="93"/>
      <c r="N128" s="86"/>
      <c r="O128" s="93"/>
      <c r="P128" s="87"/>
      <c r="Q128" s="87"/>
      <c r="R128" s="87"/>
      <c r="S128" s="86"/>
      <c r="T128" s="86"/>
      <c r="U128" s="86"/>
      <c r="V128" s="86"/>
      <c r="W128" s="86"/>
      <c r="X128" s="88"/>
      <c r="Y128" s="86"/>
      <c r="Z128" s="86"/>
      <c r="AA128" s="86"/>
      <c r="AB128" s="86"/>
      <c r="AC128" s="86"/>
      <c r="AD128" s="86"/>
      <c r="AE128" s="86"/>
    </row>
    <row r="129" spans="1:31">
      <c r="A129" s="86"/>
      <c r="B129" s="88"/>
      <c r="C129" s="86"/>
      <c r="D129" s="75"/>
      <c r="E129" s="75"/>
      <c r="F129" s="86"/>
      <c r="G129" s="86"/>
      <c r="H129" s="86"/>
      <c r="I129" s="86"/>
      <c r="J129" s="86"/>
      <c r="K129" s="86"/>
      <c r="L129" s="86"/>
      <c r="M129" s="86"/>
      <c r="N129" s="86"/>
      <c r="O129" s="86"/>
      <c r="P129" s="87"/>
      <c r="Q129" s="87"/>
      <c r="R129" s="87"/>
      <c r="S129" s="86"/>
      <c r="T129" s="86"/>
      <c r="U129" s="86"/>
      <c r="V129" s="86"/>
      <c r="W129" s="86"/>
      <c r="X129" s="88"/>
      <c r="Y129" s="86"/>
      <c r="Z129" s="86"/>
      <c r="AA129" s="86"/>
      <c r="AB129" s="86"/>
      <c r="AC129" s="86"/>
      <c r="AD129" s="86"/>
      <c r="AE129" s="86"/>
    </row>
    <row r="130" spans="1:31">
      <c r="A130" s="85"/>
      <c r="B130" s="86"/>
      <c r="C130" s="86"/>
      <c r="D130" s="75"/>
      <c r="E130" s="75"/>
      <c r="F130" s="86"/>
      <c r="G130" s="86"/>
      <c r="H130" s="86"/>
      <c r="I130" s="86"/>
      <c r="J130" s="86"/>
      <c r="K130" s="86"/>
      <c r="L130" s="86"/>
      <c r="M130" s="86"/>
      <c r="N130" s="86"/>
      <c r="O130" s="86"/>
      <c r="P130" s="87"/>
      <c r="Q130" s="87"/>
      <c r="R130" s="87"/>
      <c r="S130" s="86"/>
      <c r="T130" s="86"/>
      <c r="U130" s="86"/>
      <c r="V130" s="86"/>
      <c r="W130" s="86"/>
      <c r="X130" s="88"/>
      <c r="Y130" s="86"/>
      <c r="Z130" s="86"/>
      <c r="AA130" s="86"/>
      <c r="AB130" s="86"/>
      <c r="AC130" s="86"/>
      <c r="AD130" s="86"/>
      <c r="AE130" s="86"/>
    </row>
    <row r="131" spans="1:31">
      <c r="A131" s="85"/>
      <c r="B131" s="86"/>
      <c r="C131" s="86"/>
      <c r="D131" s="75"/>
      <c r="E131" s="75"/>
      <c r="F131" s="86"/>
      <c r="G131" s="86"/>
      <c r="H131" s="86"/>
      <c r="I131" s="86"/>
      <c r="J131" s="86"/>
      <c r="K131" s="93"/>
      <c r="L131" s="86"/>
      <c r="M131" s="86"/>
      <c r="N131" s="86"/>
      <c r="O131" s="86"/>
      <c r="P131" s="87"/>
      <c r="Q131" s="87"/>
      <c r="R131" s="87"/>
      <c r="S131" s="86"/>
      <c r="T131" s="86"/>
      <c r="U131" s="86"/>
      <c r="V131" s="86"/>
      <c r="W131" s="86"/>
      <c r="X131" s="88"/>
      <c r="Y131" s="86"/>
      <c r="Z131" s="86"/>
      <c r="AA131" s="86"/>
      <c r="AB131" s="86"/>
      <c r="AC131" s="86"/>
      <c r="AD131" s="86"/>
      <c r="AE131" s="86"/>
    </row>
    <row r="132" spans="1:31">
      <c r="A132" s="85"/>
      <c r="B132" s="86"/>
      <c r="C132" s="86"/>
      <c r="D132" s="75"/>
      <c r="E132" s="75"/>
      <c r="F132" s="86"/>
      <c r="G132" s="86"/>
      <c r="H132" s="86"/>
      <c r="I132" s="86"/>
      <c r="J132" s="86"/>
      <c r="K132" s="86"/>
      <c r="L132" s="86"/>
      <c r="M132" s="86"/>
      <c r="N132" s="86"/>
      <c r="O132" s="86"/>
      <c r="P132" s="87"/>
      <c r="Q132" s="87"/>
      <c r="R132" s="87"/>
      <c r="S132" s="86"/>
      <c r="T132" s="96"/>
      <c r="U132" s="86"/>
      <c r="V132" s="99"/>
      <c r="W132" s="96"/>
      <c r="X132" s="88"/>
      <c r="Y132" s="86"/>
      <c r="Z132" s="86"/>
      <c r="AA132" s="86"/>
      <c r="AB132" s="86"/>
      <c r="AC132" s="86"/>
      <c r="AD132" s="86"/>
      <c r="AE132" s="86"/>
    </row>
    <row r="133" spans="1:31">
      <c r="A133" s="85"/>
      <c r="B133" s="86"/>
      <c r="C133" s="86"/>
      <c r="D133" s="75"/>
      <c r="E133" s="75"/>
      <c r="F133" s="86"/>
      <c r="G133" s="86"/>
      <c r="H133" s="86"/>
      <c r="I133" s="86"/>
      <c r="J133" s="86"/>
      <c r="K133" s="86"/>
      <c r="L133" s="86"/>
      <c r="M133" s="86"/>
      <c r="N133" s="86"/>
      <c r="O133" s="86"/>
      <c r="P133" s="87"/>
      <c r="Q133" s="87"/>
      <c r="R133" s="87"/>
      <c r="S133" s="86"/>
      <c r="T133" s="86"/>
      <c r="U133" s="86"/>
      <c r="V133" s="86"/>
      <c r="W133" s="86"/>
      <c r="X133" s="88"/>
      <c r="Y133" s="86"/>
      <c r="Z133" s="86"/>
      <c r="AA133" s="86"/>
      <c r="AB133" s="86"/>
      <c r="AC133" s="86"/>
      <c r="AD133" s="86"/>
      <c r="AE133" s="86"/>
    </row>
    <row r="134" spans="1:31">
      <c r="A134" s="85"/>
      <c r="B134" s="86"/>
      <c r="C134" s="86"/>
      <c r="D134" s="75"/>
      <c r="E134" s="75"/>
      <c r="F134" s="98"/>
      <c r="G134" s="86"/>
      <c r="H134" s="86"/>
      <c r="I134" s="86"/>
      <c r="J134" s="86"/>
      <c r="K134" s="86"/>
      <c r="L134" s="86"/>
      <c r="M134" s="86"/>
      <c r="N134" s="86"/>
      <c r="O134" s="86"/>
      <c r="P134" s="87"/>
      <c r="Q134" s="87"/>
      <c r="R134" s="87"/>
      <c r="S134" s="86"/>
      <c r="T134" s="86"/>
      <c r="U134" s="86"/>
      <c r="V134" s="86"/>
      <c r="W134" s="86"/>
      <c r="X134" s="88"/>
      <c r="Y134" s="86"/>
      <c r="Z134" s="86"/>
      <c r="AA134" s="86"/>
      <c r="AB134" s="86"/>
      <c r="AC134" s="86"/>
      <c r="AD134" s="86"/>
      <c r="AE134" s="86"/>
    </row>
    <row r="135" spans="1:31" ht="14.4">
      <c r="A135" s="85"/>
      <c r="B135" s="86"/>
      <c r="C135" s="86"/>
      <c r="D135" s="92"/>
      <c r="E135" s="86"/>
      <c r="F135" s="86"/>
      <c r="G135" s="92"/>
      <c r="H135" s="86"/>
      <c r="I135" s="86"/>
      <c r="J135" s="86"/>
      <c r="K135" s="86"/>
      <c r="L135" s="86"/>
      <c r="M135" s="86"/>
      <c r="N135" s="86"/>
      <c r="O135" s="86"/>
      <c r="P135" s="87"/>
      <c r="Q135" s="87"/>
      <c r="R135" s="87"/>
      <c r="S135" s="86"/>
      <c r="T135" s="86"/>
      <c r="U135" s="86"/>
      <c r="V135" s="86"/>
      <c r="W135" s="86"/>
      <c r="X135" s="88"/>
      <c r="Y135" s="86"/>
      <c r="Z135" s="86"/>
      <c r="AA135" s="86"/>
      <c r="AB135" s="86"/>
      <c r="AC135" s="86"/>
      <c r="AD135" s="86"/>
      <c r="AE135" s="86"/>
    </row>
    <row r="136" spans="1:31">
      <c r="A136" s="85"/>
      <c r="B136" s="86"/>
      <c r="C136" s="86"/>
      <c r="D136" s="75"/>
      <c r="E136" s="75"/>
      <c r="F136" s="86"/>
      <c r="G136" s="86"/>
      <c r="H136" s="86"/>
      <c r="I136" s="86"/>
      <c r="J136" s="86"/>
      <c r="K136" s="86"/>
      <c r="L136" s="86"/>
      <c r="M136" s="86"/>
      <c r="N136" s="86"/>
      <c r="O136" s="86"/>
      <c r="P136" s="87"/>
      <c r="Q136" s="87"/>
      <c r="R136" s="87"/>
      <c r="S136" s="86"/>
      <c r="T136" s="100"/>
      <c r="U136" s="86"/>
      <c r="V136" s="86"/>
      <c r="W136" s="90"/>
      <c r="X136" s="88"/>
      <c r="Y136" s="86"/>
      <c r="Z136" s="86"/>
      <c r="AA136" s="86"/>
      <c r="AB136" s="86"/>
      <c r="AC136" s="86"/>
      <c r="AD136" s="86"/>
      <c r="AE136" s="86"/>
    </row>
    <row r="137" spans="1:31">
      <c r="A137" s="85"/>
      <c r="B137" s="86"/>
      <c r="C137" s="86"/>
      <c r="D137" s="75"/>
      <c r="E137" s="75"/>
      <c r="F137" s="86"/>
      <c r="G137" s="86"/>
      <c r="H137" s="86"/>
      <c r="I137" s="86"/>
      <c r="J137" s="86"/>
      <c r="K137" s="86"/>
      <c r="L137" s="86"/>
      <c r="M137" s="86"/>
      <c r="N137" s="86"/>
      <c r="O137" s="86"/>
      <c r="P137" s="87"/>
      <c r="Q137" s="87"/>
      <c r="R137" s="87"/>
      <c r="S137" s="86"/>
      <c r="T137" s="86"/>
      <c r="U137" s="86"/>
      <c r="V137" s="86"/>
      <c r="W137" s="86"/>
      <c r="X137" s="88"/>
      <c r="Y137" s="86"/>
      <c r="Z137" s="86"/>
      <c r="AA137" s="86"/>
      <c r="AB137" s="86"/>
      <c r="AC137" s="86"/>
      <c r="AD137" s="86"/>
      <c r="AE137" s="86"/>
    </row>
    <row r="138" spans="1:31">
      <c r="A138" s="85"/>
      <c r="B138" s="86"/>
      <c r="C138" s="86"/>
      <c r="D138" s="88"/>
      <c r="E138" s="75"/>
      <c r="F138" s="86"/>
      <c r="G138" s="86"/>
      <c r="H138" s="86"/>
      <c r="I138" s="86"/>
      <c r="J138" s="86"/>
      <c r="K138" s="86"/>
      <c r="L138" s="86"/>
      <c r="M138" s="86"/>
      <c r="N138" s="86"/>
      <c r="O138" s="86"/>
      <c r="P138" s="87"/>
      <c r="Q138" s="87"/>
      <c r="R138" s="87"/>
      <c r="S138" s="86"/>
      <c r="T138" s="86"/>
      <c r="U138" s="86"/>
      <c r="V138" s="86"/>
      <c r="W138" s="86"/>
      <c r="X138" s="88"/>
      <c r="Y138" s="86"/>
      <c r="Z138" s="86"/>
      <c r="AA138" s="86"/>
      <c r="AB138" s="86"/>
      <c r="AC138" s="86"/>
      <c r="AD138" s="86"/>
      <c r="AE138" s="86"/>
    </row>
    <row r="139" spans="1:31">
      <c r="A139" s="85"/>
      <c r="B139" s="86"/>
      <c r="C139" s="86"/>
      <c r="D139" s="75"/>
      <c r="E139" s="75"/>
      <c r="F139" s="86"/>
      <c r="G139" s="86"/>
      <c r="H139" s="86"/>
      <c r="I139" s="86"/>
      <c r="J139" s="86"/>
      <c r="K139" s="86"/>
      <c r="L139" s="86"/>
      <c r="M139" s="86"/>
      <c r="N139" s="86"/>
      <c r="O139" s="86"/>
      <c r="P139" s="87"/>
      <c r="Q139" s="87"/>
      <c r="R139" s="87"/>
      <c r="S139" s="86"/>
      <c r="T139" s="96"/>
      <c r="U139" s="86"/>
      <c r="V139" s="96"/>
      <c r="W139" s="86"/>
      <c r="X139" s="88"/>
      <c r="Y139" s="86"/>
      <c r="Z139" s="86"/>
      <c r="AA139" s="86"/>
      <c r="AB139" s="86"/>
      <c r="AC139" s="86"/>
      <c r="AD139" s="86"/>
      <c r="AE139" s="86"/>
    </row>
    <row r="140" spans="1:31">
      <c r="A140" s="85"/>
      <c r="B140" s="86"/>
      <c r="C140" s="86"/>
      <c r="D140" s="75"/>
      <c r="E140" s="75"/>
      <c r="F140" s="86"/>
      <c r="G140" s="86"/>
      <c r="H140" s="86"/>
      <c r="I140" s="86"/>
      <c r="J140" s="86"/>
      <c r="K140" s="86"/>
      <c r="L140" s="86"/>
      <c r="M140" s="93"/>
      <c r="N140" s="86"/>
      <c r="O140" s="86"/>
      <c r="P140" s="87"/>
      <c r="Q140" s="87"/>
      <c r="R140" s="87"/>
      <c r="S140" s="86"/>
      <c r="T140" s="96"/>
      <c r="U140" s="86"/>
      <c r="V140" s="96"/>
      <c r="W140" s="86"/>
      <c r="X140" s="88"/>
      <c r="Y140" s="86"/>
      <c r="Z140" s="86"/>
      <c r="AA140" s="86"/>
      <c r="AB140" s="86"/>
      <c r="AC140" s="86"/>
      <c r="AD140" s="86"/>
      <c r="AE140" s="86"/>
    </row>
    <row r="141" spans="1:31">
      <c r="A141" s="85"/>
      <c r="B141" s="86"/>
      <c r="C141" s="86"/>
      <c r="D141" s="75"/>
      <c r="E141" s="75"/>
      <c r="F141" s="86"/>
      <c r="G141" s="86"/>
      <c r="H141" s="86"/>
      <c r="I141" s="86"/>
      <c r="J141" s="86"/>
      <c r="K141" s="86"/>
      <c r="L141" s="86"/>
      <c r="M141" s="86"/>
      <c r="N141" s="86"/>
      <c r="O141" s="86"/>
      <c r="P141" s="87"/>
      <c r="Q141" s="87"/>
      <c r="R141" s="87"/>
      <c r="S141" s="86"/>
      <c r="T141" s="93"/>
      <c r="U141" s="86"/>
      <c r="V141" s="86"/>
      <c r="W141" s="86"/>
      <c r="X141" s="88"/>
      <c r="Y141" s="86"/>
      <c r="Z141" s="86"/>
      <c r="AA141" s="86"/>
      <c r="AB141" s="86"/>
      <c r="AC141" s="86"/>
      <c r="AD141" s="86"/>
      <c r="AE141" s="86"/>
    </row>
    <row r="142" spans="1:31">
      <c r="A142" s="85"/>
      <c r="B142" s="86"/>
      <c r="C142" s="86"/>
      <c r="D142" s="75"/>
      <c r="E142" s="75"/>
      <c r="F142" s="86"/>
      <c r="G142" s="93"/>
      <c r="H142" s="86"/>
      <c r="I142" s="86"/>
      <c r="J142" s="86"/>
      <c r="K142" s="86"/>
      <c r="L142" s="86"/>
      <c r="M142" s="86"/>
      <c r="N142" s="86"/>
      <c r="O142" s="86"/>
      <c r="P142" s="87"/>
      <c r="Q142" s="87"/>
      <c r="R142" s="87"/>
      <c r="S142" s="86"/>
      <c r="T142" s="90"/>
      <c r="U142" s="86"/>
      <c r="V142" s="86"/>
      <c r="W142" s="90"/>
      <c r="X142" s="88"/>
      <c r="Y142" s="86"/>
      <c r="Z142" s="86"/>
      <c r="AA142" s="86"/>
      <c r="AB142" s="86"/>
      <c r="AC142" s="86"/>
      <c r="AD142" s="86"/>
      <c r="AE142" s="86"/>
    </row>
    <row r="143" spans="1:31">
      <c r="A143" s="85"/>
      <c r="B143" s="86"/>
      <c r="C143" s="86"/>
      <c r="D143" s="75"/>
      <c r="E143" s="75"/>
      <c r="F143" s="86"/>
      <c r="G143" s="86"/>
      <c r="H143" s="86"/>
      <c r="I143" s="97"/>
      <c r="J143" s="86"/>
      <c r="K143" s="93"/>
      <c r="L143" s="86"/>
      <c r="M143" s="86"/>
      <c r="N143" s="86"/>
      <c r="O143" s="97"/>
      <c r="P143" s="87"/>
      <c r="Q143" s="87"/>
      <c r="R143" s="87"/>
      <c r="S143" s="86"/>
      <c r="T143" s="86"/>
      <c r="U143" s="86"/>
      <c r="V143" s="86"/>
      <c r="W143" s="86"/>
      <c r="X143" s="88"/>
      <c r="Y143" s="86"/>
      <c r="Z143" s="86"/>
      <c r="AA143" s="86"/>
      <c r="AB143" s="86"/>
      <c r="AC143" s="86"/>
      <c r="AD143" s="86"/>
      <c r="AE143" s="86"/>
    </row>
    <row r="144" spans="1:31">
      <c r="A144" s="85"/>
      <c r="B144" s="86"/>
      <c r="C144" s="86"/>
      <c r="D144" s="75"/>
      <c r="E144" s="75"/>
      <c r="F144" s="86"/>
      <c r="G144" s="86"/>
      <c r="H144" s="86"/>
      <c r="I144" s="86"/>
      <c r="J144" s="86"/>
      <c r="K144" s="86"/>
      <c r="L144" s="86"/>
      <c r="M144" s="86"/>
      <c r="N144" s="86"/>
      <c r="O144" s="86"/>
      <c r="P144" s="87"/>
      <c r="Q144" s="87"/>
      <c r="R144" s="87"/>
      <c r="S144" s="86"/>
      <c r="T144" s="86"/>
      <c r="U144" s="86"/>
      <c r="V144" s="86"/>
      <c r="W144" s="86"/>
      <c r="X144" s="88"/>
      <c r="Y144" s="86"/>
      <c r="Z144" s="86"/>
      <c r="AA144" s="86"/>
      <c r="AB144" s="86"/>
      <c r="AC144" s="86"/>
      <c r="AD144" s="86"/>
      <c r="AE144" s="86"/>
    </row>
    <row r="145" spans="1:31">
      <c r="A145" s="85"/>
      <c r="B145" s="86"/>
      <c r="C145" s="86"/>
      <c r="D145" s="75"/>
      <c r="E145" s="75"/>
      <c r="F145" s="86"/>
      <c r="G145" s="86"/>
      <c r="H145" s="86"/>
      <c r="I145" s="86"/>
      <c r="J145" s="86"/>
      <c r="K145" s="86"/>
      <c r="L145" s="86"/>
      <c r="M145" s="86"/>
      <c r="N145" s="86"/>
      <c r="O145" s="86"/>
      <c r="P145" s="87"/>
      <c r="Q145" s="87"/>
      <c r="R145" s="87"/>
      <c r="S145" s="86"/>
      <c r="T145" s="86"/>
      <c r="U145" s="86"/>
      <c r="V145" s="93"/>
      <c r="W145" s="86"/>
      <c r="X145" s="88"/>
      <c r="Y145" s="86"/>
      <c r="Z145" s="86"/>
      <c r="AA145" s="86"/>
      <c r="AB145" s="86"/>
      <c r="AC145" s="86"/>
      <c r="AD145" s="86"/>
      <c r="AE145" s="86"/>
    </row>
    <row r="146" spans="1:31">
      <c r="A146" s="85"/>
      <c r="B146" s="86"/>
      <c r="C146" s="86"/>
      <c r="D146" s="75"/>
      <c r="E146" s="75"/>
      <c r="F146" s="86"/>
      <c r="G146" s="86"/>
      <c r="H146" s="86"/>
      <c r="I146" s="86"/>
      <c r="J146" s="86"/>
      <c r="K146" s="86"/>
      <c r="L146" s="86"/>
      <c r="M146" s="86"/>
      <c r="N146" s="86"/>
      <c r="O146" s="86"/>
      <c r="P146" s="87"/>
      <c r="Q146" s="87"/>
      <c r="R146" s="87"/>
      <c r="S146" s="86"/>
      <c r="T146" s="86"/>
      <c r="U146" s="86"/>
      <c r="V146" s="86"/>
      <c r="W146" s="86"/>
      <c r="X146" s="88"/>
      <c r="Y146" s="86"/>
      <c r="Z146" s="86"/>
      <c r="AA146" s="86"/>
      <c r="AB146" s="86"/>
      <c r="AC146" s="86"/>
      <c r="AD146" s="86"/>
      <c r="AE146" s="86"/>
    </row>
    <row r="147" spans="1:31" ht="14.4">
      <c r="A147" s="85"/>
      <c r="B147" s="86"/>
      <c r="C147" s="86"/>
      <c r="D147" s="75"/>
      <c r="E147" s="75"/>
      <c r="F147" s="86"/>
      <c r="G147" s="86"/>
      <c r="H147" s="86"/>
      <c r="I147" s="86"/>
      <c r="J147" s="86"/>
      <c r="K147" s="86"/>
      <c r="L147" s="86"/>
      <c r="M147" s="86"/>
      <c r="N147" s="86"/>
      <c r="O147" s="86"/>
      <c r="P147" s="87"/>
      <c r="Q147" s="87"/>
      <c r="R147" s="87"/>
      <c r="S147" s="86"/>
      <c r="T147" s="92"/>
      <c r="U147" s="86"/>
      <c r="V147" s="86"/>
      <c r="W147" s="86"/>
      <c r="X147" s="88"/>
      <c r="Y147" s="86"/>
      <c r="Z147" s="86"/>
      <c r="AA147" s="86"/>
      <c r="AB147" s="86"/>
      <c r="AC147" s="86"/>
      <c r="AD147" s="86"/>
      <c r="AE147" s="86"/>
    </row>
    <row r="148" spans="1:31">
      <c r="A148" s="85"/>
      <c r="B148" s="86"/>
      <c r="C148" s="86"/>
      <c r="D148" s="75"/>
      <c r="E148" s="75"/>
      <c r="F148" s="86"/>
      <c r="G148" s="86"/>
      <c r="H148" s="86"/>
      <c r="I148" s="86"/>
      <c r="J148" s="86"/>
      <c r="K148" s="86"/>
      <c r="L148" s="86"/>
      <c r="M148" s="86"/>
      <c r="N148" s="86"/>
      <c r="O148" s="86"/>
      <c r="P148" s="87"/>
      <c r="Q148" s="87"/>
      <c r="R148" s="87"/>
      <c r="S148" s="86"/>
      <c r="T148" s="86"/>
      <c r="U148" s="86"/>
      <c r="V148" s="86"/>
      <c r="W148" s="86"/>
      <c r="X148" s="88"/>
      <c r="Y148" s="86"/>
      <c r="Z148" s="86"/>
      <c r="AA148" s="86"/>
      <c r="AB148" s="86"/>
      <c r="AC148" s="86"/>
      <c r="AD148" s="86"/>
      <c r="AE148" s="86"/>
    </row>
    <row r="149" spans="1:31" ht="14.4">
      <c r="A149" s="85"/>
      <c r="B149" s="86"/>
      <c r="C149" s="86"/>
      <c r="D149" s="75"/>
      <c r="E149" s="92"/>
      <c r="F149" s="86"/>
      <c r="G149" s="86"/>
      <c r="H149" s="86"/>
      <c r="I149" s="86"/>
      <c r="J149" s="86"/>
      <c r="K149" s="86"/>
      <c r="L149" s="86"/>
      <c r="M149" s="86"/>
      <c r="N149" s="86"/>
      <c r="O149" s="86"/>
      <c r="P149" s="87"/>
      <c r="Q149" s="87"/>
      <c r="R149" s="87"/>
      <c r="S149" s="86"/>
      <c r="T149" s="92"/>
      <c r="U149" s="86"/>
      <c r="V149" s="86"/>
      <c r="W149" s="86"/>
      <c r="X149" s="88"/>
      <c r="Y149" s="86"/>
      <c r="Z149" s="86"/>
      <c r="AA149" s="86"/>
      <c r="AB149" s="86"/>
      <c r="AC149" s="86"/>
      <c r="AD149" s="86"/>
      <c r="AE149" s="86"/>
    </row>
    <row r="150" spans="1:31">
      <c r="A150" s="85"/>
      <c r="B150" s="86"/>
      <c r="C150" s="86"/>
      <c r="D150" s="75"/>
      <c r="E150" s="75"/>
      <c r="F150" s="86"/>
      <c r="G150" s="93"/>
      <c r="H150" s="86"/>
      <c r="I150" s="86"/>
      <c r="J150" s="86"/>
      <c r="K150" s="86"/>
      <c r="L150" s="86"/>
      <c r="M150" s="93"/>
      <c r="N150" s="86"/>
      <c r="O150" s="93"/>
      <c r="P150" s="87"/>
      <c r="Q150" s="87"/>
      <c r="R150" s="87"/>
      <c r="S150" s="86"/>
      <c r="T150" s="93"/>
      <c r="U150" s="86"/>
      <c r="V150" s="86"/>
      <c r="W150" s="86"/>
      <c r="X150" s="88"/>
      <c r="Y150" s="86"/>
      <c r="Z150" s="86"/>
      <c r="AA150" s="86"/>
      <c r="AB150" s="86"/>
      <c r="AC150" s="86"/>
      <c r="AD150" s="86"/>
      <c r="AE150" s="86"/>
    </row>
    <row r="151" spans="1:31">
      <c r="A151" s="85"/>
      <c r="B151" s="86"/>
      <c r="C151" s="86"/>
      <c r="D151" s="75"/>
      <c r="E151" s="75"/>
      <c r="F151" s="86"/>
      <c r="G151" s="86"/>
      <c r="H151" s="86"/>
      <c r="I151" s="86"/>
      <c r="J151" s="86"/>
      <c r="K151" s="86"/>
      <c r="L151" s="86"/>
      <c r="M151" s="86"/>
      <c r="N151" s="86"/>
      <c r="O151" s="86"/>
      <c r="P151" s="87"/>
      <c r="Q151" s="87"/>
      <c r="R151" s="87"/>
      <c r="S151" s="86"/>
      <c r="T151" s="86"/>
      <c r="U151" s="86"/>
      <c r="V151" s="86"/>
      <c r="W151" s="86"/>
      <c r="X151" s="88"/>
      <c r="Y151" s="86"/>
      <c r="Z151" s="86"/>
      <c r="AA151" s="86"/>
      <c r="AB151" s="86"/>
      <c r="AC151" s="86"/>
      <c r="AD151" s="86"/>
      <c r="AE151" s="86"/>
    </row>
    <row r="152" spans="1:31">
      <c r="A152" s="85"/>
      <c r="B152" s="86"/>
      <c r="C152" s="86"/>
      <c r="D152" s="75"/>
      <c r="E152" s="75"/>
      <c r="F152" s="86"/>
      <c r="G152" s="86"/>
      <c r="H152" s="86"/>
      <c r="I152" s="86"/>
      <c r="J152" s="86"/>
      <c r="K152" s="86"/>
      <c r="L152" s="86"/>
      <c r="M152" s="86"/>
      <c r="N152" s="86"/>
      <c r="O152" s="86"/>
      <c r="P152" s="87"/>
      <c r="Q152" s="87"/>
      <c r="R152" s="87"/>
      <c r="S152" s="86"/>
      <c r="T152" s="86"/>
      <c r="U152" s="86"/>
      <c r="V152" s="86"/>
      <c r="W152" s="86"/>
      <c r="X152" s="88"/>
      <c r="Y152" s="86"/>
      <c r="Z152" s="86"/>
      <c r="AA152" s="86"/>
      <c r="AB152" s="86"/>
      <c r="AC152" s="86"/>
      <c r="AD152" s="86"/>
      <c r="AE152" s="86"/>
    </row>
    <row r="153" spans="1:31">
      <c r="A153" s="85"/>
      <c r="B153" s="86"/>
      <c r="C153" s="86"/>
      <c r="D153" s="75"/>
      <c r="E153" s="75"/>
      <c r="F153" s="86"/>
      <c r="G153" s="86"/>
      <c r="H153" s="86"/>
      <c r="I153" s="86"/>
      <c r="J153" s="86"/>
      <c r="K153" s="86"/>
      <c r="L153" s="86"/>
      <c r="M153" s="86"/>
      <c r="N153" s="86"/>
      <c r="O153" s="86"/>
      <c r="P153" s="87"/>
      <c r="Q153" s="87"/>
      <c r="R153" s="87"/>
      <c r="S153" s="86"/>
      <c r="T153" s="86"/>
      <c r="U153" s="86"/>
      <c r="V153" s="86"/>
      <c r="W153" s="86"/>
      <c r="X153" s="88"/>
      <c r="Y153" s="86"/>
      <c r="Z153" s="86"/>
      <c r="AA153" s="86"/>
      <c r="AB153" s="86"/>
      <c r="AC153" s="86"/>
      <c r="AD153" s="86"/>
      <c r="AE153" s="86"/>
    </row>
    <row r="154" spans="1:31">
      <c r="A154" s="85"/>
      <c r="B154" s="86"/>
      <c r="C154" s="86"/>
      <c r="D154" s="75"/>
      <c r="E154" s="75"/>
      <c r="F154" s="86"/>
      <c r="G154" s="86"/>
      <c r="H154" s="86"/>
      <c r="I154" s="86"/>
      <c r="J154" s="86"/>
      <c r="K154" s="86"/>
      <c r="L154" s="86"/>
      <c r="M154" s="86"/>
      <c r="N154" s="86"/>
      <c r="O154" s="86"/>
      <c r="P154" s="87"/>
      <c r="Q154" s="87"/>
      <c r="R154" s="87"/>
      <c r="S154" s="86"/>
      <c r="T154" s="86"/>
      <c r="U154" s="86"/>
      <c r="V154" s="86"/>
      <c r="W154" s="86"/>
      <c r="X154" s="88"/>
      <c r="Y154" s="86"/>
      <c r="Z154" s="86"/>
      <c r="AA154" s="86"/>
      <c r="AB154" s="86"/>
      <c r="AC154" s="86"/>
      <c r="AD154" s="86"/>
      <c r="AE154" s="86"/>
    </row>
    <row r="155" spans="1:31">
      <c r="A155" s="85"/>
      <c r="B155" s="86"/>
      <c r="C155" s="86"/>
      <c r="D155" s="75"/>
      <c r="E155" s="75"/>
      <c r="F155" s="86"/>
      <c r="G155" s="86"/>
      <c r="H155" s="86"/>
      <c r="I155" s="86"/>
      <c r="J155" s="86"/>
      <c r="K155" s="86"/>
      <c r="L155" s="86"/>
      <c r="M155" s="86"/>
      <c r="N155" s="86"/>
      <c r="O155" s="86"/>
      <c r="P155" s="87"/>
      <c r="Q155" s="87"/>
      <c r="R155" s="87"/>
      <c r="S155" s="86"/>
      <c r="T155" s="86"/>
      <c r="U155" s="86"/>
      <c r="V155" s="86"/>
      <c r="W155" s="86"/>
      <c r="X155" s="98"/>
      <c r="Y155" s="86"/>
      <c r="Z155" s="86"/>
      <c r="AA155" s="86"/>
      <c r="AB155" s="86"/>
      <c r="AC155" s="86"/>
      <c r="AD155" s="86"/>
      <c r="AE155" s="86"/>
    </row>
    <row r="156" spans="1:31">
      <c r="A156" s="85"/>
      <c r="B156" s="86"/>
      <c r="C156" s="86"/>
      <c r="D156" s="75"/>
      <c r="E156" s="75"/>
      <c r="F156" s="86"/>
      <c r="G156" s="86"/>
      <c r="H156" s="86"/>
      <c r="I156" s="86"/>
      <c r="J156" s="86"/>
      <c r="K156" s="86"/>
      <c r="L156" s="86"/>
      <c r="M156" s="86"/>
      <c r="N156" s="86"/>
      <c r="O156" s="86"/>
      <c r="P156" s="87"/>
      <c r="Q156" s="87"/>
      <c r="R156" s="87"/>
      <c r="S156" s="86"/>
      <c r="T156" s="90"/>
      <c r="U156" s="86"/>
      <c r="V156" s="86"/>
      <c r="W156" s="90"/>
      <c r="X156" s="88"/>
      <c r="Y156" s="86"/>
      <c r="Z156" s="86"/>
      <c r="AA156" s="86"/>
      <c r="AB156" s="86"/>
      <c r="AC156" s="86"/>
      <c r="AD156" s="86"/>
      <c r="AE156" s="86"/>
    </row>
    <row r="157" spans="1:31">
      <c r="A157" s="85"/>
      <c r="B157" s="86"/>
      <c r="C157" s="86"/>
      <c r="D157" s="75"/>
      <c r="E157" s="75"/>
      <c r="F157" s="86"/>
      <c r="G157" s="86"/>
      <c r="H157" s="86"/>
      <c r="I157" s="93"/>
      <c r="J157" s="86"/>
      <c r="K157" s="93"/>
      <c r="L157" s="86"/>
      <c r="M157" s="93"/>
      <c r="N157" s="86"/>
      <c r="O157" s="93"/>
      <c r="P157" s="87"/>
      <c r="Q157" s="87"/>
      <c r="R157" s="87"/>
      <c r="S157" s="86"/>
      <c r="T157" s="93"/>
      <c r="U157" s="93"/>
      <c r="V157" s="93"/>
      <c r="W157" s="86"/>
      <c r="X157" s="88"/>
      <c r="Y157" s="86"/>
      <c r="Z157" s="86"/>
      <c r="AA157" s="86"/>
      <c r="AB157" s="86"/>
      <c r="AC157" s="86"/>
      <c r="AD157" s="86"/>
      <c r="AE157" s="86"/>
    </row>
    <row r="158" spans="1:31">
      <c r="A158" s="85"/>
      <c r="B158" s="86"/>
      <c r="C158" s="86"/>
      <c r="D158" s="75"/>
      <c r="E158" s="75"/>
      <c r="F158" s="86"/>
      <c r="G158" s="86"/>
      <c r="H158" s="86"/>
      <c r="I158" s="93"/>
      <c r="J158" s="86"/>
      <c r="K158" s="93"/>
      <c r="L158" s="86"/>
      <c r="M158" s="93"/>
      <c r="N158" s="86"/>
      <c r="O158" s="93"/>
      <c r="P158" s="87"/>
      <c r="Q158" s="87"/>
      <c r="R158" s="87"/>
      <c r="S158" s="86"/>
      <c r="T158" s="86"/>
      <c r="U158" s="93"/>
      <c r="V158" s="93"/>
      <c r="W158" s="86"/>
      <c r="X158" s="88"/>
      <c r="Y158" s="86"/>
      <c r="Z158" s="86"/>
      <c r="AA158" s="86"/>
      <c r="AB158" s="86"/>
      <c r="AC158" s="86"/>
      <c r="AD158" s="86"/>
      <c r="AE158" s="86"/>
    </row>
    <row r="159" spans="1:31">
      <c r="A159" s="85"/>
      <c r="B159" s="86"/>
      <c r="C159" s="86"/>
      <c r="D159" s="75"/>
      <c r="E159" s="75"/>
      <c r="F159" s="86"/>
      <c r="G159" s="86"/>
      <c r="H159" s="86"/>
      <c r="I159" s="86"/>
      <c r="J159" s="86"/>
      <c r="K159" s="93"/>
      <c r="L159" s="86"/>
      <c r="M159" s="86"/>
      <c r="N159" s="86"/>
      <c r="O159" s="86"/>
      <c r="P159" s="87"/>
      <c r="Q159" s="87"/>
      <c r="R159" s="87"/>
      <c r="S159" s="86"/>
      <c r="T159" s="86"/>
      <c r="U159" s="86"/>
      <c r="V159" s="86"/>
      <c r="W159" s="86"/>
      <c r="X159" s="88"/>
      <c r="Y159" s="86"/>
      <c r="Z159" s="86"/>
      <c r="AA159" s="86"/>
      <c r="AB159" s="86"/>
      <c r="AC159" s="86"/>
      <c r="AD159" s="86"/>
      <c r="AE159" s="86"/>
    </row>
    <row r="160" spans="1:31">
      <c r="A160" s="85"/>
      <c r="B160" s="86"/>
      <c r="C160" s="86"/>
      <c r="D160" s="75"/>
      <c r="E160" s="75"/>
      <c r="F160" s="86"/>
      <c r="G160" s="86"/>
      <c r="H160" s="86"/>
      <c r="I160" s="86"/>
      <c r="J160" s="86"/>
      <c r="K160" s="86"/>
      <c r="L160" s="86"/>
      <c r="M160" s="86"/>
      <c r="N160" s="86"/>
      <c r="O160" s="86"/>
      <c r="P160" s="87"/>
      <c r="Q160" s="87"/>
      <c r="R160" s="87"/>
      <c r="S160" s="86"/>
      <c r="T160" s="86"/>
      <c r="U160" s="86"/>
      <c r="V160" s="86"/>
      <c r="W160" s="86"/>
      <c r="X160" s="88"/>
      <c r="Y160" s="86"/>
      <c r="Z160" s="86"/>
      <c r="AA160" s="86"/>
      <c r="AB160" s="86"/>
      <c r="AC160" s="86"/>
      <c r="AD160" s="86"/>
      <c r="AE160" s="86"/>
    </row>
    <row r="161" spans="1:31">
      <c r="A161" s="85"/>
      <c r="B161" s="86"/>
      <c r="C161" s="86"/>
      <c r="D161" s="75"/>
      <c r="E161" s="75"/>
      <c r="F161" s="86"/>
      <c r="G161" s="86"/>
      <c r="H161" s="86"/>
      <c r="I161" s="86"/>
      <c r="J161" s="86"/>
      <c r="K161" s="86"/>
      <c r="L161" s="86"/>
      <c r="M161" s="86"/>
      <c r="N161" s="86"/>
      <c r="O161" s="86"/>
      <c r="P161" s="87"/>
      <c r="Q161" s="87"/>
      <c r="R161" s="87"/>
      <c r="S161" s="86"/>
      <c r="T161" s="86"/>
      <c r="U161" s="86"/>
      <c r="V161" s="86"/>
      <c r="W161" s="86"/>
      <c r="X161" s="88"/>
      <c r="Y161" s="86"/>
      <c r="Z161" s="86"/>
      <c r="AA161" s="86"/>
      <c r="AB161" s="86"/>
      <c r="AC161" s="86"/>
      <c r="AD161" s="86"/>
      <c r="AE161" s="86"/>
    </row>
    <row r="162" spans="1:31">
      <c r="A162" s="85"/>
      <c r="B162" s="86"/>
      <c r="C162" s="86"/>
      <c r="D162" s="75"/>
      <c r="E162" s="75"/>
      <c r="F162" s="86"/>
      <c r="G162" s="93"/>
      <c r="H162" s="86"/>
      <c r="I162" s="93"/>
      <c r="J162" s="86"/>
      <c r="K162" s="93"/>
      <c r="L162" s="86"/>
      <c r="M162" s="93"/>
      <c r="N162" s="86"/>
      <c r="O162" s="93"/>
      <c r="P162" s="87"/>
      <c r="Q162" s="87"/>
      <c r="R162" s="87"/>
      <c r="S162" s="86"/>
      <c r="T162" s="93"/>
      <c r="U162" s="86"/>
      <c r="V162" s="86"/>
      <c r="W162" s="86"/>
      <c r="X162" s="88"/>
      <c r="Y162" s="86"/>
      <c r="Z162" s="86"/>
      <c r="AA162" s="86"/>
      <c r="AB162" s="86"/>
      <c r="AC162" s="86"/>
      <c r="AD162" s="86"/>
      <c r="AE162" s="86"/>
    </row>
    <row r="163" spans="1:31">
      <c r="A163" s="85"/>
      <c r="B163" s="86"/>
      <c r="C163" s="86"/>
      <c r="D163" s="75"/>
      <c r="E163" s="75"/>
      <c r="F163" s="86"/>
      <c r="G163" s="86"/>
      <c r="H163" s="86"/>
      <c r="I163" s="86"/>
      <c r="J163" s="86"/>
      <c r="K163" s="86"/>
      <c r="L163" s="86"/>
      <c r="M163" s="86"/>
      <c r="N163" s="86"/>
      <c r="O163" s="86"/>
      <c r="P163" s="87"/>
      <c r="Q163" s="87"/>
      <c r="R163" s="87"/>
      <c r="S163" s="86"/>
      <c r="T163" s="86"/>
      <c r="U163" s="86"/>
      <c r="V163" s="86"/>
      <c r="W163" s="86"/>
      <c r="X163" s="88"/>
      <c r="Y163" s="86"/>
      <c r="Z163" s="86"/>
      <c r="AA163" s="86"/>
      <c r="AB163" s="86"/>
      <c r="AC163" s="86"/>
      <c r="AD163" s="86"/>
      <c r="AE163" s="86"/>
    </row>
    <row r="164" spans="1:31">
      <c r="A164" s="85"/>
      <c r="B164" s="86"/>
      <c r="C164" s="86"/>
      <c r="D164" s="75"/>
      <c r="E164" s="75"/>
      <c r="F164" s="86"/>
      <c r="G164" s="86"/>
      <c r="H164" s="86"/>
      <c r="I164" s="86"/>
      <c r="J164" s="86"/>
      <c r="K164" s="97"/>
      <c r="L164" s="86"/>
      <c r="M164" s="93"/>
      <c r="N164" s="86"/>
      <c r="O164" s="86"/>
      <c r="P164" s="87"/>
      <c r="Q164" s="87"/>
      <c r="R164" s="87"/>
      <c r="S164" s="86"/>
      <c r="T164" s="86"/>
      <c r="U164" s="86"/>
      <c r="V164" s="86"/>
      <c r="W164" s="86"/>
      <c r="X164" s="88"/>
      <c r="Y164" s="86"/>
      <c r="Z164" s="86"/>
      <c r="AA164" s="86"/>
      <c r="AB164" s="86"/>
      <c r="AC164" s="86"/>
      <c r="AD164" s="86"/>
      <c r="AE164" s="86"/>
    </row>
    <row r="165" spans="1:31">
      <c r="A165" s="85"/>
      <c r="B165" s="86"/>
      <c r="C165" s="86"/>
      <c r="D165" s="75"/>
      <c r="E165" s="75"/>
      <c r="F165" s="86"/>
      <c r="G165" s="93"/>
      <c r="H165" s="86"/>
      <c r="I165" s="93"/>
      <c r="J165" s="86"/>
      <c r="K165" s="86"/>
      <c r="L165" s="86"/>
      <c r="M165" s="93"/>
      <c r="N165" s="86"/>
      <c r="O165" s="93"/>
      <c r="P165" s="87"/>
      <c r="Q165" s="87"/>
      <c r="R165" s="87"/>
      <c r="S165" s="86"/>
      <c r="T165" s="96"/>
      <c r="U165" s="86"/>
      <c r="V165" s="96"/>
      <c r="W165" s="86"/>
      <c r="X165" s="88"/>
      <c r="Y165" s="86"/>
      <c r="Z165" s="86"/>
      <c r="AA165" s="86"/>
      <c r="AB165" s="86"/>
      <c r="AC165" s="86"/>
      <c r="AD165" s="86"/>
      <c r="AE165" s="86"/>
    </row>
    <row r="166" spans="1:31">
      <c r="A166" s="85"/>
      <c r="B166" s="86"/>
      <c r="C166" s="86"/>
      <c r="D166" s="75"/>
      <c r="E166" s="75"/>
      <c r="F166" s="86"/>
      <c r="G166" s="86"/>
      <c r="H166" s="86"/>
      <c r="I166" s="86"/>
      <c r="J166" s="86"/>
      <c r="K166" s="93"/>
      <c r="L166" s="86"/>
      <c r="M166" s="86"/>
      <c r="N166" s="86"/>
      <c r="O166" s="86"/>
      <c r="P166" s="87"/>
      <c r="Q166" s="87"/>
      <c r="R166" s="87"/>
      <c r="S166" s="86"/>
      <c r="T166" s="86"/>
      <c r="U166" s="86"/>
      <c r="V166" s="86"/>
      <c r="W166" s="86"/>
      <c r="X166" s="88"/>
      <c r="Y166" s="86"/>
      <c r="Z166" s="86"/>
      <c r="AA166" s="86"/>
      <c r="AB166" s="86"/>
      <c r="AC166" s="86"/>
      <c r="AD166" s="86"/>
      <c r="AE166" s="86"/>
    </row>
    <row r="167" spans="1:31">
      <c r="A167" s="85"/>
      <c r="B167" s="86"/>
      <c r="C167" s="86"/>
      <c r="D167" s="75"/>
      <c r="E167" s="75"/>
      <c r="F167" s="86"/>
      <c r="G167" s="86"/>
      <c r="H167" s="86"/>
      <c r="I167" s="86"/>
      <c r="J167" s="86"/>
      <c r="K167" s="86"/>
      <c r="L167" s="86"/>
      <c r="M167" s="86"/>
      <c r="N167" s="86"/>
      <c r="O167" s="86"/>
      <c r="P167" s="87"/>
      <c r="Q167" s="87"/>
      <c r="R167" s="87"/>
      <c r="S167" s="86"/>
      <c r="T167" s="86"/>
      <c r="U167" s="86"/>
      <c r="V167" s="86"/>
      <c r="W167" s="86"/>
      <c r="X167" s="98"/>
      <c r="Y167" s="86"/>
      <c r="Z167" s="86"/>
      <c r="AA167" s="86"/>
      <c r="AB167" s="86"/>
      <c r="AC167" s="86"/>
      <c r="AD167" s="86"/>
      <c r="AE167" s="86"/>
    </row>
    <row r="168" spans="1:31">
      <c r="A168" s="75"/>
      <c r="B168" s="86"/>
      <c r="C168" s="86"/>
      <c r="D168" s="88"/>
      <c r="E168" s="75"/>
      <c r="F168" s="86"/>
      <c r="G168" s="93"/>
      <c r="H168" s="86"/>
      <c r="I168" s="93"/>
      <c r="J168" s="86"/>
      <c r="K168" s="86"/>
      <c r="L168" s="86"/>
      <c r="M168" s="93"/>
      <c r="N168" s="86"/>
      <c r="O168" s="93"/>
      <c r="P168" s="87"/>
      <c r="Q168" s="87"/>
      <c r="R168" s="87"/>
      <c r="S168" s="86"/>
      <c r="T168" s="99"/>
      <c r="U168" s="93"/>
      <c r="V168" s="99"/>
      <c r="W168" s="86"/>
      <c r="X168" s="88"/>
      <c r="Y168" s="86"/>
      <c r="Z168" s="86"/>
      <c r="AA168" s="86"/>
      <c r="AB168" s="86"/>
      <c r="AC168" s="86"/>
      <c r="AD168" s="86"/>
      <c r="AE168" s="86"/>
    </row>
    <row r="169" spans="1:31">
      <c r="A169" s="85"/>
      <c r="B169" s="86"/>
      <c r="C169" s="86"/>
      <c r="D169" s="75"/>
      <c r="E169" s="75"/>
      <c r="F169" s="86"/>
      <c r="G169" s="86"/>
      <c r="H169" s="86"/>
      <c r="I169" s="86"/>
      <c r="J169" s="86"/>
      <c r="K169" s="93"/>
      <c r="L169" s="86"/>
      <c r="M169" s="86"/>
      <c r="N169" s="86"/>
      <c r="O169" s="86"/>
      <c r="P169" s="87"/>
      <c r="Q169" s="87"/>
      <c r="R169" s="87"/>
      <c r="S169" s="86"/>
      <c r="T169" s="86"/>
      <c r="U169" s="86"/>
      <c r="V169" s="86"/>
      <c r="W169" s="86"/>
      <c r="X169" s="88"/>
      <c r="Y169" s="86"/>
      <c r="Z169" s="86"/>
      <c r="AA169" s="86"/>
      <c r="AB169" s="86"/>
      <c r="AC169" s="86"/>
      <c r="AD169" s="86"/>
      <c r="AE169" s="86"/>
    </row>
    <row r="170" spans="1:31">
      <c r="A170" s="85"/>
      <c r="B170" s="86"/>
      <c r="C170" s="86"/>
      <c r="D170" s="75"/>
      <c r="E170" s="75"/>
      <c r="F170" s="86"/>
      <c r="G170" s="86"/>
      <c r="H170" s="86"/>
      <c r="I170" s="86"/>
      <c r="J170" s="86"/>
      <c r="K170" s="86"/>
      <c r="L170" s="86"/>
      <c r="M170" s="86"/>
      <c r="N170" s="86"/>
      <c r="O170" s="86"/>
      <c r="P170" s="87"/>
      <c r="Q170" s="87"/>
      <c r="R170" s="87"/>
      <c r="S170" s="86"/>
      <c r="T170" s="86"/>
      <c r="U170" s="86"/>
      <c r="V170" s="86"/>
      <c r="W170" s="86"/>
      <c r="X170" s="88"/>
      <c r="Y170" s="86"/>
      <c r="Z170" s="86"/>
      <c r="AA170" s="86"/>
      <c r="AB170" s="86"/>
      <c r="AC170" s="86"/>
      <c r="AD170" s="86"/>
      <c r="AE170" s="86"/>
    </row>
    <row r="171" spans="1:31">
      <c r="A171" s="85"/>
      <c r="B171" s="86"/>
      <c r="C171" s="86"/>
      <c r="D171" s="75"/>
      <c r="E171" s="75"/>
      <c r="F171" s="86"/>
      <c r="G171" s="86"/>
      <c r="H171" s="86"/>
      <c r="I171" s="86"/>
      <c r="J171" s="86"/>
      <c r="K171" s="86"/>
      <c r="L171" s="86"/>
      <c r="M171" s="86"/>
      <c r="N171" s="86"/>
      <c r="O171" s="86"/>
      <c r="P171" s="87"/>
      <c r="Q171" s="87"/>
      <c r="R171" s="87"/>
      <c r="S171" s="86"/>
      <c r="T171" s="86"/>
      <c r="U171" s="86"/>
      <c r="V171" s="86"/>
      <c r="W171" s="86"/>
      <c r="X171" s="88"/>
      <c r="Y171" s="86"/>
      <c r="Z171" s="86"/>
      <c r="AA171" s="86"/>
      <c r="AB171" s="86"/>
      <c r="AC171" s="86"/>
      <c r="AD171" s="86"/>
      <c r="AE171" s="86"/>
    </row>
    <row r="172" spans="1:31">
      <c r="A172" s="85"/>
      <c r="B172" s="86"/>
      <c r="C172" s="86"/>
      <c r="D172" s="75"/>
      <c r="E172" s="75"/>
      <c r="F172" s="86"/>
      <c r="G172" s="86"/>
      <c r="H172" s="86"/>
      <c r="I172" s="86"/>
      <c r="J172" s="86"/>
      <c r="K172" s="93"/>
      <c r="L172" s="86"/>
      <c r="M172" s="86"/>
      <c r="N172" s="86"/>
      <c r="O172" s="86"/>
      <c r="P172" s="87"/>
      <c r="Q172" s="87"/>
      <c r="R172" s="87"/>
      <c r="S172" s="86"/>
      <c r="T172" s="86"/>
      <c r="U172" s="86"/>
      <c r="V172" s="86"/>
      <c r="W172" s="86"/>
      <c r="X172" s="88"/>
      <c r="Y172" s="86"/>
      <c r="Z172" s="86"/>
      <c r="AA172" s="86"/>
      <c r="AB172" s="86"/>
      <c r="AC172" s="86"/>
      <c r="AD172" s="86"/>
      <c r="AE172" s="86"/>
    </row>
    <row r="173" spans="1:31">
      <c r="A173" s="85"/>
      <c r="B173" s="86"/>
      <c r="C173" s="86"/>
      <c r="D173" s="75"/>
      <c r="E173" s="75"/>
      <c r="F173" s="86"/>
      <c r="G173" s="86"/>
      <c r="H173" s="86"/>
      <c r="I173" s="86"/>
      <c r="J173" s="86"/>
      <c r="K173" s="86"/>
      <c r="L173" s="86"/>
      <c r="M173" s="86"/>
      <c r="N173" s="86"/>
      <c r="O173" s="86"/>
      <c r="P173" s="87"/>
      <c r="Q173" s="87"/>
      <c r="R173" s="87"/>
      <c r="S173" s="86"/>
      <c r="T173" s="86"/>
      <c r="U173" s="86"/>
      <c r="V173" s="86"/>
      <c r="W173" s="86"/>
      <c r="X173" s="88"/>
      <c r="Y173" s="86"/>
      <c r="Z173" s="86"/>
      <c r="AA173" s="86"/>
      <c r="AB173" s="86"/>
      <c r="AC173" s="86"/>
      <c r="AD173" s="86"/>
      <c r="AE173" s="86"/>
    </row>
    <row r="174" spans="1:31">
      <c r="A174" s="85"/>
      <c r="B174" s="86"/>
      <c r="C174" s="86"/>
      <c r="D174" s="75"/>
      <c r="E174" s="75"/>
      <c r="F174" s="86"/>
      <c r="G174" s="86"/>
      <c r="H174" s="86"/>
      <c r="I174" s="86"/>
      <c r="J174" s="86"/>
      <c r="K174" s="86"/>
      <c r="L174" s="86"/>
      <c r="M174" s="86"/>
      <c r="N174" s="86"/>
      <c r="O174" s="86"/>
      <c r="P174" s="87"/>
      <c r="Q174" s="87"/>
      <c r="R174" s="87"/>
      <c r="S174" s="86"/>
      <c r="T174" s="86"/>
      <c r="U174" s="86"/>
      <c r="V174" s="86"/>
      <c r="W174" s="86"/>
      <c r="X174" s="88"/>
      <c r="Y174" s="86"/>
      <c r="Z174" s="86"/>
      <c r="AA174" s="86"/>
      <c r="AB174" s="86"/>
      <c r="AC174" s="86"/>
      <c r="AD174" s="86"/>
      <c r="AE174" s="86"/>
    </row>
    <row r="175" spans="1:31">
      <c r="A175" s="85"/>
      <c r="B175" s="86"/>
      <c r="C175" s="86"/>
      <c r="D175" s="75"/>
      <c r="E175" s="75"/>
      <c r="F175" s="86"/>
      <c r="G175" s="86"/>
      <c r="H175" s="86"/>
      <c r="I175" s="86"/>
      <c r="J175" s="86"/>
      <c r="K175" s="93"/>
      <c r="L175" s="86"/>
      <c r="M175" s="86"/>
      <c r="N175" s="86"/>
      <c r="O175" s="93"/>
      <c r="P175" s="87"/>
      <c r="Q175" s="87"/>
      <c r="R175" s="87"/>
      <c r="S175" s="86"/>
      <c r="T175" s="86"/>
      <c r="U175" s="86"/>
      <c r="V175" s="86"/>
      <c r="W175" s="86"/>
      <c r="X175" s="88"/>
      <c r="Y175" s="86"/>
      <c r="Z175" s="86"/>
      <c r="AA175" s="86"/>
      <c r="AB175" s="86"/>
      <c r="AC175" s="86"/>
      <c r="AD175" s="86"/>
      <c r="AE175" s="86"/>
    </row>
    <row r="176" spans="1:31">
      <c r="A176" s="85"/>
      <c r="B176" s="86"/>
      <c r="C176" s="86"/>
      <c r="D176" s="75"/>
      <c r="E176" s="75"/>
      <c r="F176" s="86"/>
      <c r="G176" s="86"/>
      <c r="H176" s="86"/>
      <c r="I176" s="86"/>
      <c r="J176" s="86"/>
      <c r="K176" s="86"/>
      <c r="L176" s="86"/>
      <c r="M176" s="86"/>
      <c r="N176" s="86"/>
      <c r="O176" s="86"/>
      <c r="P176" s="87"/>
      <c r="Q176" s="87"/>
      <c r="R176" s="87"/>
      <c r="S176" s="86"/>
      <c r="T176" s="86"/>
      <c r="U176" s="86"/>
      <c r="V176" s="86"/>
      <c r="W176" s="86"/>
      <c r="X176" s="88"/>
      <c r="Y176" s="86"/>
      <c r="Z176" s="86"/>
      <c r="AA176" s="86"/>
      <c r="AB176" s="86"/>
      <c r="AC176" s="86"/>
      <c r="AD176" s="86"/>
      <c r="AE176" s="86"/>
    </row>
    <row r="177" spans="1:31">
      <c r="A177" s="85"/>
      <c r="B177" s="86"/>
      <c r="C177" s="86"/>
      <c r="D177" s="75"/>
      <c r="E177" s="75"/>
      <c r="F177" s="86"/>
      <c r="G177" s="86"/>
      <c r="H177" s="86"/>
      <c r="I177" s="86"/>
      <c r="J177" s="86"/>
      <c r="K177" s="86"/>
      <c r="L177" s="86"/>
      <c r="M177" s="86"/>
      <c r="N177" s="86"/>
      <c r="O177" s="86"/>
      <c r="P177" s="87"/>
      <c r="Q177" s="87"/>
      <c r="R177" s="87"/>
      <c r="S177" s="86"/>
      <c r="T177" s="86"/>
      <c r="U177" s="86"/>
      <c r="V177" s="86"/>
      <c r="W177" s="86"/>
      <c r="X177" s="88"/>
      <c r="Y177" s="86"/>
      <c r="Z177" s="86"/>
      <c r="AA177" s="86"/>
      <c r="AB177" s="86"/>
      <c r="AC177" s="86"/>
      <c r="AD177" s="86"/>
      <c r="AE177" s="86"/>
    </row>
    <row r="178" spans="1:31">
      <c r="A178" s="85"/>
      <c r="B178" s="86"/>
      <c r="C178" s="86"/>
      <c r="D178" s="75"/>
      <c r="E178" s="75"/>
      <c r="F178" s="86"/>
      <c r="G178" s="86"/>
      <c r="H178" s="86"/>
      <c r="I178" s="86"/>
      <c r="J178" s="86"/>
      <c r="K178" s="93"/>
      <c r="L178" s="86"/>
      <c r="M178" s="86"/>
      <c r="N178" s="86"/>
      <c r="O178" s="86"/>
      <c r="P178" s="87"/>
      <c r="Q178" s="87"/>
      <c r="R178" s="87"/>
      <c r="S178" s="86"/>
      <c r="T178" s="86"/>
      <c r="U178" s="86"/>
      <c r="V178" s="86"/>
      <c r="W178" s="86"/>
      <c r="X178" s="88"/>
      <c r="Y178" s="86"/>
      <c r="Z178" s="86"/>
      <c r="AA178" s="86"/>
      <c r="AB178" s="86"/>
      <c r="AC178" s="86"/>
      <c r="AD178" s="86"/>
      <c r="AE178" s="86"/>
    </row>
    <row r="179" spans="1:31">
      <c r="A179" s="85"/>
      <c r="B179" s="86"/>
      <c r="C179" s="86"/>
      <c r="D179" s="75"/>
      <c r="E179" s="75"/>
      <c r="F179" s="86"/>
      <c r="G179" s="86"/>
      <c r="H179" s="86"/>
      <c r="I179" s="86"/>
      <c r="J179" s="86"/>
      <c r="K179" s="86"/>
      <c r="L179" s="86"/>
      <c r="M179" s="86"/>
      <c r="N179" s="86"/>
      <c r="O179" s="86"/>
      <c r="P179" s="87"/>
      <c r="Q179" s="87"/>
      <c r="R179" s="87"/>
      <c r="S179" s="86"/>
      <c r="T179" s="86"/>
      <c r="U179" s="86"/>
      <c r="V179" s="86"/>
      <c r="W179" s="86"/>
      <c r="X179" s="88"/>
      <c r="Y179" s="86"/>
      <c r="Z179" s="86"/>
      <c r="AA179" s="86"/>
      <c r="AB179" s="86"/>
      <c r="AC179" s="86"/>
      <c r="AD179" s="86"/>
      <c r="AE179" s="86"/>
    </row>
    <row r="180" spans="1:31">
      <c r="A180" s="85"/>
      <c r="B180" s="86"/>
      <c r="C180" s="86"/>
      <c r="D180" s="75"/>
      <c r="E180" s="75"/>
      <c r="F180" s="86"/>
      <c r="G180" s="86"/>
      <c r="H180" s="86"/>
      <c r="I180" s="97"/>
      <c r="J180" s="86"/>
      <c r="K180" s="93"/>
      <c r="L180" s="86"/>
      <c r="M180" s="86"/>
      <c r="N180" s="86"/>
      <c r="O180" s="90"/>
      <c r="P180" s="87"/>
      <c r="Q180" s="87"/>
      <c r="R180" s="87"/>
      <c r="S180" s="86"/>
      <c r="T180" s="86"/>
      <c r="U180" s="86"/>
      <c r="V180" s="86"/>
      <c r="W180" s="86"/>
      <c r="X180" s="88"/>
      <c r="Y180" s="86"/>
      <c r="Z180" s="86"/>
      <c r="AA180" s="86"/>
      <c r="AB180" s="86"/>
      <c r="AC180" s="86"/>
      <c r="AD180" s="86"/>
      <c r="AE180" s="86"/>
    </row>
    <row r="181" spans="1:31">
      <c r="A181" s="85"/>
      <c r="B181" s="86"/>
      <c r="C181" s="86"/>
      <c r="D181" s="75"/>
      <c r="E181" s="75"/>
      <c r="F181" s="86"/>
      <c r="G181" s="86"/>
      <c r="H181" s="86"/>
      <c r="I181" s="86"/>
      <c r="J181" s="86"/>
      <c r="K181" s="86"/>
      <c r="L181" s="86"/>
      <c r="M181" s="86"/>
      <c r="N181" s="86"/>
      <c r="O181" s="86"/>
      <c r="P181" s="87"/>
      <c r="Q181" s="87"/>
      <c r="R181" s="87"/>
      <c r="S181" s="86"/>
      <c r="T181" s="86"/>
      <c r="U181" s="86"/>
      <c r="V181" s="86"/>
      <c r="W181" s="86"/>
      <c r="X181" s="88"/>
      <c r="Y181" s="86"/>
      <c r="Z181" s="86"/>
      <c r="AA181" s="86"/>
      <c r="AB181" s="86"/>
      <c r="AC181" s="86"/>
      <c r="AD181" s="86"/>
      <c r="AE181" s="86"/>
    </row>
    <row r="182" spans="1:31">
      <c r="A182" s="85"/>
      <c r="B182" s="86"/>
      <c r="C182" s="86"/>
      <c r="D182" s="75"/>
      <c r="E182" s="75"/>
      <c r="F182" s="86"/>
      <c r="G182" s="86"/>
      <c r="H182" s="86"/>
      <c r="I182" s="86"/>
      <c r="J182" s="86"/>
      <c r="K182" s="93"/>
      <c r="L182" s="86"/>
      <c r="M182" s="86"/>
      <c r="N182" s="86"/>
      <c r="O182" s="86"/>
      <c r="P182" s="87"/>
      <c r="Q182" s="87"/>
      <c r="R182" s="87"/>
      <c r="S182" s="86"/>
      <c r="T182" s="86"/>
      <c r="U182" s="86"/>
      <c r="V182" s="86"/>
      <c r="W182" s="86"/>
      <c r="X182" s="88"/>
      <c r="Y182" s="86"/>
      <c r="Z182" s="86"/>
      <c r="AA182" s="86"/>
      <c r="AB182" s="86"/>
      <c r="AC182" s="86"/>
      <c r="AD182" s="86"/>
      <c r="AE182" s="86"/>
    </row>
    <row r="183" spans="1:31">
      <c r="A183" s="85"/>
      <c r="B183" s="86"/>
      <c r="C183" s="86"/>
      <c r="D183" s="75"/>
      <c r="E183" s="75"/>
      <c r="F183" s="86"/>
      <c r="G183" s="86"/>
      <c r="H183" s="86"/>
      <c r="I183" s="86"/>
      <c r="J183" s="86"/>
      <c r="K183" s="86"/>
      <c r="L183" s="86"/>
      <c r="M183" s="86"/>
      <c r="N183" s="86"/>
      <c r="O183" s="86"/>
      <c r="P183" s="87"/>
      <c r="Q183" s="87"/>
      <c r="R183" s="87"/>
      <c r="S183" s="86"/>
      <c r="T183" s="86"/>
      <c r="U183" s="86"/>
      <c r="V183" s="86"/>
      <c r="W183" s="86"/>
      <c r="X183" s="88"/>
      <c r="Y183" s="86"/>
      <c r="Z183" s="86"/>
      <c r="AA183" s="86"/>
      <c r="AB183" s="86"/>
      <c r="AC183" s="86"/>
      <c r="AD183" s="86"/>
      <c r="AE183" s="86"/>
    </row>
    <row r="184" spans="1:31">
      <c r="A184" s="85"/>
      <c r="B184" s="86"/>
      <c r="C184" s="86"/>
      <c r="D184" s="75"/>
      <c r="E184" s="75"/>
      <c r="F184" s="86"/>
      <c r="G184" s="86"/>
      <c r="H184" s="86"/>
      <c r="I184" s="86"/>
      <c r="J184" s="86"/>
      <c r="K184" s="93"/>
      <c r="L184" s="86"/>
      <c r="M184" s="86"/>
      <c r="N184" s="86"/>
      <c r="O184" s="86"/>
      <c r="P184" s="87"/>
      <c r="Q184" s="87"/>
      <c r="R184" s="87"/>
      <c r="S184" s="86"/>
      <c r="T184" s="86"/>
      <c r="U184" s="86"/>
      <c r="V184" s="99"/>
      <c r="W184" s="86"/>
      <c r="X184" s="88"/>
      <c r="Y184" s="86"/>
      <c r="Z184" s="86"/>
      <c r="AA184" s="86"/>
      <c r="AB184" s="86"/>
      <c r="AC184" s="86"/>
      <c r="AD184" s="86"/>
      <c r="AE184" s="86"/>
    </row>
    <row r="185" spans="1:31">
      <c r="A185" s="85"/>
      <c r="B185" s="86"/>
      <c r="C185" s="86"/>
      <c r="D185" s="75"/>
      <c r="E185" s="75"/>
      <c r="F185" s="86"/>
      <c r="G185" s="86"/>
      <c r="H185" s="86"/>
      <c r="I185" s="86"/>
      <c r="J185" s="86"/>
      <c r="K185" s="86"/>
      <c r="L185" s="86"/>
      <c r="M185" s="86"/>
      <c r="N185" s="86"/>
      <c r="O185" s="86"/>
      <c r="P185" s="87"/>
      <c r="Q185" s="87"/>
      <c r="R185" s="87"/>
      <c r="S185" s="86"/>
      <c r="T185" s="86"/>
      <c r="U185" s="86"/>
      <c r="V185" s="86"/>
      <c r="W185" s="86"/>
      <c r="X185" s="88"/>
      <c r="Y185" s="86"/>
      <c r="Z185" s="86"/>
      <c r="AA185" s="86"/>
      <c r="AB185" s="86"/>
      <c r="AC185" s="86"/>
      <c r="AD185" s="86"/>
      <c r="AE185" s="86"/>
    </row>
    <row r="186" spans="1:31">
      <c r="A186" s="85"/>
      <c r="B186" s="86"/>
      <c r="C186" s="86"/>
      <c r="D186" s="75"/>
      <c r="E186" s="75"/>
      <c r="F186" s="86"/>
      <c r="G186" s="86"/>
      <c r="H186" s="86"/>
      <c r="I186" s="86"/>
      <c r="J186" s="86"/>
      <c r="K186" s="86"/>
      <c r="L186" s="86"/>
      <c r="M186" s="86"/>
      <c r="N186" s="86"/>
      <c r="O186" s="86"/>
      <c r="P186" s="87"/>
      <c r="Q186" s="87"/>
      <c r="R186" s="87"/>
      <c r="S186" s="86"/>
      <c r="T186" s="86"/>
      <c r="U186" s="86"/>
      <c r="V186" s="86"/>
      <c r="W186" s="86"/>
      <c r="X186" s="88"/>
      <c r="Y186" s="86"/>
      <c r="Z186" s="86"/>
      <c r="AA186" s="86"/>
      <c r="AB186" s="86"/>
      <c r="AC186" s="86"/>
      <c r="AD186" s="86"/>
      <c r="AE186" s="86"/>
    </row>
    <row r="187" spans="1:31">
      <c r="A187" s="85"/>
      <c r="B187" s="86"/>
      <c r="C187" s="86"/>
      <c r="D187" s="75"/>
      <c r="E187" s="75"/>
      <c r="F187" s="86"/>
      <c r="G187" s="86"/>
      <c r="H187" s="86"/>
      <c r="I187" s="86"/>
      <c r="J187" s="86"/>
      <c r="K187" s="93"/>
      <c r="L187" s="86"/>
      <c r="M187" s="86"/>
      <c r="N187" s="86"/>
      <c r="O187" s="86"/>
      <c r="P187" s="87"/>
      <c r="Q187" s="87"/>
      <c r="R187" s="87"/>
      <c r="S187" s="86"/>
      <c r="T187" s="86"/>
      <c r="U187" s="86"/>
      <c r="V187" s="86"/>
      <c r="W187" s="86"/>
      <c r="X187" s="88"/>
      <c r="Y187" s="86"/>
      <c r="Z187" s="86"/>
      <c r="AA187" s="86"/>
      <c r="AB187" s="86"/>
      <c r="AC187" s="86"/>
      <c r="AD187" s="86"/>
      <c r="AE187" s="86"/>
    </row>
    <row r="188" spans="1:31">
      <c r="A188" s="85"/>
      <c r="B188" s="86"/>
      <c r="C188" s="86"/>
      <c r="D188" s="75"/>
      <c r="E188" s="75"/>
      <c r="F188" s="86"/>
      <c r="G188" s="86"/>
      <c r="H188" s="86"/>
      <c r="I188" s="86"/>
      <c r="J188" s="86"/>
      <c r="K188" s="86"/>
      <c r="L188" s="86"/>
      <c r="M188" s="86"/>
      <c r="N188" s="86"/>
      <c r="O188" s="86"/>
      <c r="P188" s="87"/>
      <c r="Q188" s="87"/>
      <c r="R188" s="87"/>
      <c r="S188" s="86"/>
      <c r="T188" s="86"/>
      <c r="U188" s="86"/>
      <c r="V188" s="86"/>
      <c r="W188" s="86"/>
      <c r="X188" s="88"/>
      <c r="Y188" s="86"/>
      <c r="Z188" s="86"/>
      <c r="AA188" s="86"/>
      <c r="AB188" s="86"/>
      <c r="AC188" s="86"/>
      <c r="AD188" s="86"/>
      <c r="AE188" s="86"/>
    </row>
    <row r="189" spans="1:31">
      <c r="A189" s="85"/>
      <c r="B189" s="86"/>
      <c r="C189" s="86"/>
      <c r="D189" s="75"/>
      <c r="E189" s="75"/>
      <c r="F189" s="86"/>
      <c r="G189" s="86"/>
      <c r="H189" s="86"/>
      <c r="I189" s="86"/>
      <c r="J189" s="86"/>
      <c r="K189" s="93"/>
      <c r="L189" s="86"/>
      <c r="M189" s="86"/>
      <c r="N189" s="86"/>
      <c r="O189" s="86"/>
      <c r="P189" s="87"/>
      <c r="Q189" s="87"/>
      <c r="R189" s="87"/>
      <c r="S189" s="86"/>
      <c r="T189" s="86"/>
      <c r="U189" s="86"/>
      <c r="V189" s="86"/>
      <c r="W189" s="86"/>
      <c r="X189" s="88"/>
      <c r="Y189" s="86"/>
      <c r="Z189" s="86"/>
      <c r="AA189" s="86"/>
      <c r="AB189" s="86"/>
      <c r="AC189" s="86"/>
      <c r="AD189" s="86"/>
      <c r="AE189" s="86"/>
    </row>
    <row r="190" spans="1:31">
      <c r="A190" s="85"/>
      <c r="B190" s="86"/>
      <c r="C190" s="86"/>
      <c r="D190" s="75"/>
      <c r="E190" s="75"/>
      <c r="F190" s="86"/>
      <c r="G190" s="86"/>
      <c r="H190" s="86"/>
      <c r="I190" s="86"/>
      <c r="J190" s="86"/>
      <c r="K190" s="86"/>
      <c r="L190" s="86"/>
      <c r="M190" s="86"/>
      <c r="N190" s="86"/>
      <c r="O190" s="86"/>
      <c r="P190" s="87"/>
      <c r="Q190" s="87"/>
      <c r="R190" s="87"/>
      <c r="S190" s="86"/>
      <c r="T190" s="86"/>
      <c r="U190" s="86"/>
      <c r="V190" s="86"/>
      <c r="W190" s="86"/>
      <c r="X190" s="88"/>
      <c r="Y190" s="86"/>
      <c r="Z190" s="86"/>
      <c r="AA190" s="86"/>
      <c r="AB190" s="86"/>
      <c r="AC190" s="86"/>
      <c r="AD190" s="86"/>
      <c r="AE190" s="86"/>
    </row>
    <row r="191" spans="1:31">
      <c r="A191" s="85"/>
      <c r="B191" s="86"/>
      <c r="C191" s="86"/>
      <c r="D191" s="75"/>
      <c r="E191" s="75"/>
      <c r="F191" s="86"/>
      <c r="G191" s="86"/>
      <c r="H191" s="86"/>
      <c r="I191" s="86"/>
      <c r="J191" s="86"/>
      <c r="K191" s="93"/>
      <c r="L191" s="86"/>
      <c r="M191" s="86"/>
      <c r="N191" s="86"/>
      <c r="O191" s="86"/>
      <c r="P191" s="87"/>
      <c r="Q191" s="87"/>
      <c r="R191" s="87"/>
      <c r="S191" s="86"/>
      <c r="T191" s="86"/>
      <c r="U191" s="86"/>
      <c r="V191" s="86"/>
      <c r="W191" s="86"/>
      <c r="X191" s="88"/>
      <c r="Y191" s="86"/>
      <c r="Z191" s="86"/>
      <c r="AA191" s="86"/>
      <c r="AB191" s="86"/>
      <c r="AC191" s="86"/>
      <c r="AD191" s="86"/>
      <c r="AE191" s="86"/>
    </row>
    <row r="192" spans="1:31">
      <c r="A192" s="85"/>
      <c r="B192" s="86"/>
      <c r="C192" s="86"/>
      <c r="D192" s="75"/>
      <c r="E192" s="75"/>
      <c r="F192" s="86"/>
      <c r="G192" s="86"/>
      <c r="H192" s="86"/>
      <c r="I192" s="93"/>
      <c r="J192" s="86"/>
      <c r="K192" s="93"/>
      <c r="L192" s="86"/>
      <c r="M192" s="93"/>
      <c r="N192" s="86"/>
      <c r="O192" s="93"/>
      <c r="P192" s="87"/>
      <c r="Q192" s="87"/>
      <c r="R192" s="87"/>
      <c r="S192" s="86"/>
      <c r="T192" s="86"/>
      <c r="U192" s="86"/>
      <c r="V192" s="86"/>
      <c r="W192" s="86"/>
      <c r="X192" s="88"/>
      <c r="Y192" s="86"/>
      <c r="Z192" s="86"/>
      <c r="AA192" s="86"/>
      <c r="AB192" s="86"/>
      <c r="AC192" s="86"/>
      <c r="AD192" s="86"/>
      <c r="AE192" s="86"/>
    </row>
    <row r="193" spans="1:31">
      <c r="A193" s="85"/>
      <c r="B193" s="91"/>
      <c r="C193" s="86"/>
      <c r="D193" s="75"/>
      <c r="E193" s="75"/>
      <c r="F193" s="86"/>
      <c r="G193" s="86"/>
      <c r="H193" s="86"/>
      <c r="I193" s="86"/>
      <c r="J193" s="86"/>
      <c r="K193" s="93"/>
      <c r="L193" s="86"/>
      <c r="M193" s="86"/>
      <c r="N193" s="86"/>
      <c r="O193" s="86"/>
      <c r="P193" s="87"/>
      <c r="Q193" s="87"/>
      <c r="R193" s="87"/>
      <c r="S193" s="86"/>
      <c r="T193" s="86"/>
      <c r="U193" s="86"/>
      <c r="V193" s="86"/>
      <c r="W193" s="86"/>
      <c r="X193" s="88"/>
      <c r="Y193" s="86"/>
      <c r="Z193" s="86"/>
      <c r="AA193" s="86"/>
      <c r="AB193" s="86"/>
      <c r="AC193" s="86"/>
      <c r="AD193" s="86"/>
      <c r="AE193" s="86"/>
    </row>
    <row r="194" spans="1:31">
      <c r="A194" s="85"/>
      <c r="B194" s="86"/>
      <c r="C194" s="86"/>
      <c r="D194" s="75"/>
      <c r="E194" s="75"/>
      <c r="F194" s="86"/>
      <c r="G194" s="86"/>
      <c r="H194" s="86"/>
      <c r="I194" s="86"/>
      <c r="J194" s="86"/>
      <c r="K194" s="86"/>
      <c r="L194" s="86"/>
      <c r="M194" s="86"/>
      <c r="N194" s="86"/>
      <c r="O194" s="86"/>
      <c r="P194" s="87"/>
      <c r="Q194" s="87"/>
      <c r="R194" s="87"/>
      <c r="S194" s="86"/>
      <c r="T194" s="86"/>
      <c r="U194" s="86"/>
      <c r="V194" s="86"/>
      <c r="W194" s="86"/>
      <c r="X194" s="88"/>
      <c r="Y194" s="86"/>
      <c r="Z194" s="86"/>
      <c r="AA194" s="86"/>
      <c r="AB194" s="86"/>
      <c r="AC194" s="86"/>
      <c r="AD194" s="86"/>
      <c r="AE194" s="86"/>
    </row>
    <row r="195" spans="1:31">
      <c r="A195" s="85"/>
      <c r="B195" s="86"/>
      <c r="C195" s="86"/>
      <c r="D195" s="75"/>
      <c r="E195" s="75"/>
      <c r="F195" s="86"/>
      <c r="G195" s="86"/>
      <c r="H195" s="86"/>
      <c r="I195" s="93"/>
      <c r="J195" s="86"/>
      <c r="K195" s="93"/>
      <c r="L195" s="86"/>
      <c r="M195" s="93"/>
      <c r="N195" s="86"/>
      <c r="O195" s="93"/>
      <c r="P195" s="87"/>
      <c r="Q195" s="87"/>
      <c r="R195" s="87"/>
      <c r="S195" s="86"/>
      <c r="T195" s="86"/>
      <c r="U195" s="86"/>
      <c r="V195" s="86"/>
      <c r="W195" s="86"/>
      <c r="X195" s="88"/>
      <c r="Y195" s="86"/>
      <c r="Z195" s="86"/>
      <c r="AA195" s="86"/>
      <c r="AB195" s="86"/>
      <c r="AC195" s="86"/>
      <c r="AD195" s="86"/>
      <c r="AE195" s="86"/>
    </row>
    <row r="196" spans="1:31">
      <c r="A196" s="85"/>
      <c r="B196" s="86"/>
      <c r="C196" s="86"/>
      <c r="D196" s="75"/>
      <c r="E196" s="75"/>
      <c r="F196" s="86"/>
      <c r="G196" s="86"/>
      <c r="H196" s="86"/>
      <c r="I196" s="93"/>
      <c r="J196" s="86"/>
      <c r="K196" s="93"/>
      <c r="L196" s="86"/>
      <c r="M196" s="93"/>
      <c r="N196" s="86"/>
      <c r="O196" s="93"/>
      <c r="P196" s="87"/>
      <c r="Q196" s="87"/>
      <c r="R196" s="87"/>
      <c r="S196" s="86"/>
      <c r="T196" s="86"/>
      <c r="U196" s="86"/>
      <c r="V196" s="86"/>
      <c r="W196" s="86"/>
      <c r="X196" s="88"/>
      <c r="Y196" s="86"/>
      <c r="Z196" s="86"/>
      <c r="AA196" s="86"/>
      <c r="AB196" s="86"/>
      <c r="AC196" s="86"/>
      <c r="AD196" s="86"/>
      <c r="AE196" s="86"/>
    </row>
    <row r="197" spans="1:31">
      <c r="A197" s="85"/>
      <c r="B197" s="86"/>
      <c r="C197" s="86"/>
      <c r="D197" s="75"/>
      <c r="E197" s="75"/>
      <c r="F197" s="86"/>
      <c r="G197" s="86"/>
      <c r="H197" s="86"/>
      <c r="I197" s="86"/>
      <c r="J197" s="86"/>
      <c r="K197" s="86"/>
      <c r="L197" s="86"/>
      <c r="M197" s="86"/>
      <c r="N197" s="86"/>
      <c r="O197" s="86"/>
      <c r="P197" s="87"/>
      <c r="Q197" s="87"/>
      <c r="R197" s="87"/>
      <c r="S197" s="86"/>
      <c r="T197" s="86"/>
      <c r="U197" s="86"/>
      <c r="V197" s="86"/>
      <c r="W197" s="86"/>
      <c r="X197" s="88"/>
      <c r="Y197" s="86"/>
      <c r="Z197" s="86"/>
      <c r="AA197" s="86"/>
      <c r="AB197" s="86"/>
      <c r="AC197" s="86"/>
      <c r="AD197" s="86"/>
      <c r="AE197" s="86"/>
    </row>
    <row r="198" spans="1:31">
      <c r="A198" s="85"/>
      <c r="B198" s="86"/>
      <c r="C198" s="86"/>
      <c r="D198" s="75"/>
      <c r="E198" s="75"/>
      <c r="F198" s="86"/>
      <c r="G198" s="86"/>
      <c r="H198" s="86"/>
      <c r="I198" s="86"/>
      <c r="J198" s="86"/>
      <c r="K198" s="86"/>
      <c r="L198" s="86"/>
      <c r="M198" s="86"/>
      <c r="N198" s="86"/>
      <c r="O198" s="86"/>
      <c r="P198" s="87"/>
      <c r="Q198" s="87"/>
      <c r="R198" s="87"/>
      <c r="S198" s="86"/>
      <c r="T198" s="86"/>
      <c r="U198" s="86"/>
      <c r="V198" s="86"/>
      <c r="W198" s="86"/>
      <c r="X198" s="88"/>
      <c r="Y198" s="86"/>
      <c r="Z198" s="86"/>
      <c r="AA198" s="86"/>
      <c r="AB198" s="86"/>
      <c r="AC198" s="86"/>
      <c r="AD198" s="86"/>
      <c r="AE198" s="86"/>
    </row>
    <row r="199" spans="1:31">
      <c r="A199" s="85"/>
      <c r="B199" s="91"/>
      <c r="C199" s="86"/>
      <c r="D199" s="75"/>
      <c r="E199" s="75"/>
      <c r="F199" s="86"/>
      <c r="G199" s="86"/>
      <c r="H199" s="86"/>
      <c r="I199" s="86"/>
      <c r="J199" s="86"/>
      <c r="K199" s="86"/>
      <c r="L199" s="86"/>
      <c r="M199" s="86"/>
      <c r="N199" s="86"/>
      <c r="O199" s="86"/>
      <c r="P199" s="87"/>
      <c r="Q199" s="87"/>
      <c r="R199" s="87"/>
      <c r="S199" s="86"/>
      <c r="T199" s="86"/>
      <c r="U199" s="86"/>
      <c r="V199" s="86"/>
      <c r="W199" s="86"/>
      <c r="X199" s="88"/>
      <c r="Y199" s="86"/>
      <c r="Z199" s="86"/>
      <c r="AA199" s="86"/>
      <c r="AB199" s="86"/>
      <c r="AC199" s="86"/>
      <c r="AD199" s="86"/>
      <c r="AE199" s="86"/>
    </row>
    <row r="200" spans="1:31">
      <c r="A200" s="85"/>
      <c r="B200" s="86"/>
      <c r="C200" s="86"/>
      <c r="D200" s="75"/>
      <c r="E200" s="75"/>
      <c r="F200" s="86"/>
      <c r="G200" s="93"/>
      <c r="H200" s="86"/>
      <c r="I200" s="93"/>
      <c r="J200" s="86"/>
      <c r="K200" s="86"/>
      <c r="L200" s="86"/>
      <c r="M200" s="93"/>
      <c r="N200" s="86"/>
      <c r="O200" s="86"/>
      <c r="P200" s="87"/>
      <c r="Q200" s="87"/>
      <c r="R200" s="87"/>
      <c r="S200" s="86"/>
      <c r="T200" s="96"/>
      <c r="U200" s="86"/>
      <c r="V200" s="96"/>
      <c r="W200" s="86"/>
      <c r="X200" s="88"/>
      <c r="Y200" s="86"/>
      <c r="Z200" s="86"/>
      <c r="AA200" s="86"/>
      <c r="AB200" s="86"/>
      <c r="AC200" s="86"/>
      <c r="AD200" s="86"/>
      <c r="AE200" s="86"/>
    </row>
    <row r="201" spans="1:31">
      <c r="A201" s="85"/>
      <c r="B201" s="86"/>
      <c r="C201" s="86"/>
      <c r="D201" s="75"/>
      <c r="E201" s="75"/>
      <c r="F201" s="86"/>
      <c r="G201" s="86"/>
      <c r="H201" s="86"/>
      <c r="I201" s="86"/>
      <c r="J201" s="86"/>
      <c r="K201" s="86"/>
      <c r="L201" s="86"/>
      <c r="M201" s="86"/>
      <c r="N201" s="86"/>
      <c r="O201" s="86"/>
      <c r="P201" s="87"/>
      <c r="Q201" s="87"/>
      <c r="R201" s="87"/>
      <c r="S201" s="86"/>
      <c r="T201" s="86"/>
      <c r="U201" s="86"/>
      <c r="V201" s="86"/>
      <c r="W201" s="86"/>
      <c r="X201" s="88"/>
      <c r="Y201" s="86"/>
      <c r="Z201" s="86"/>
      <c r="AA201" s="86"/>
      <c r="AB201" s="86"/>
      <c r="AC201" s="86"/>
      <c r="AD201" s="86"/>
      <c r="AE201" s="86"/>
    </row>
    <row r="202" spans="1:31">
      <c r="A202" s="85"/>
      <c r="B202" s="86"/>
      <c r="C202" s="86"/>
      <c r="D202" s="75"/>
      <c r="E202" s="75"/>
      <c r="F202" s="86"/>
      <c r="G202" s="86"/>
      <c r="H202" s="86"/>
      <c r="I202" s="93"/>
      <c r="J202" s="86"/>
      <c r="K202" s="86"/>
      <c r="L202" s="86"/>
      <c r="M202" s="86"/>
      <c r="N202" s="86"/>
      <c r="O202" s="86"/>
      <c r="P202" s="87"/>
      <c r="Q202" s="87"/>
      <c r="R202" s="87"/>
      <c r="S202" s="86"/>
      <c r="T202" s="86"/>
      <c r="U202" s="86"/>
      <c r="V202" s="86"/>
      <c r="W202" s="86"/>
      <c r="X202" s="98"/>
      <c r="Y202" s="86"/>
      <c r="Z202" s="86"/>
      <c r="AA202" s="86"/>
      <c r="AB202" s="86"/>
      <c r="AC202" s="86"/>
      <c r="AD202" s="86"/>
      <c r="AE202" s="86"/>
    </row>
    <row r="203" spans="1:31">
      <c r="A203" s="85"/>
      <c r="B203" s="86"/>
      <c r="C203" s="86"/>
      <c r="D203" s="75"/>
      <c r="E203" s="75"/>
      <c r="F203" s="86"/>
      <c r="G203" s="86"/>
      <c r="H203" s="86"/>
      <c r="I203" s="86"/>
      <c r="J203" s="86"/>
      <c r="K203" s="86"/>
      <c r="L203" s="86"/>
      <c r="M203" s="86"/>
      <c r="N203" s="86"/>
      <c r="O203" s="86"/>
      <c r="P203" s="87"/>
      <c r="Q203" s="87"/>
      <c r="R203" s="87"/>
      <c r="S203" s="86"/>
      <c r="T203" s="86"/>
      <c r="U203" s="86"/>
      <c r="V203" s="86"/>
      <c r="W203" s="86"/>
      <c r="X203" s="88"/>
      <c r="Y203" s="86"/>
      <c r="Z203" s="86"/>
      <c r="AA203" s="86"/>
      <c r="AB203" s="86"/>
      <c r="AC203" s="86"/>
      <c r="AD203" s="86"/>
      <c r="AE203" s="86"/>
    </row>
    <row r="204" spans="1:31">
      <c r="A204" s="85"/>
      <c r="B204" s="86"/>
      <c r="C204" s="86"/>
      <c r="D204" s="75"/>
      <c r="E204" s="75"/>
      <c r="F204" s="86"/>
      <c r="G204" s="86"/>
      <c r="H204" s="86"/>
      <c r="I204" s="93"/>
      <c r="J204" s="86"/>
      <c r="K204" s="86"/>
      <c r="L204" s="86"/>
      <c r="M204" s="86"/>
      <c r="N204" s="86"/>
      <c r="O204" s="86"/>
      <c r="P204" s="87"/>
      <c r="Q204" s="87"/>
      <c r="R204" s="87"/>
      <c r="S204" s="86"/>
      <c r="T204" s="86"/>
      <c r="U204" s="86"/>
      <c r="V204" s="91"/>
      <c r="W204" s="86"/>
      <c r="X204" s="98"/>
      <c r="Y204" s="86"/>
      <c r="Z204" s="86"/>
      <c r="AA204" s="86"/>
      <c r="AB204" s="86"/>
      <c r="AC204" s="86"/>
      <c r="AD204" s="86"/>
      <c r="AE204" s="86"/>
    </row>
    <row r="205" spans="1:31">
      <c r="A205" s="85"/>
      <c r="B205" s="91"/>
      <c r="C205" s="86"/>
      <c r="D205" s="75"/>
      <c r="E205" s="75"/>
      <c r="F205" s="86"/>
      <c r="G205" s="86"/>
      <c r="H205" s="86"/>
      <c r="I205" s="86"/>
      <c r="J205" s="86"/>
      <c r="K205" s="86"/>
      <c r="L205" s="86"/>
      <c r="M205" s="86"/>
      <c r="N205" s="86"/>
      <c r="O205" s="86"/>
      <c r="P205" s="87"/>
      <c r="Q205" s="87"/>
      <c r="R205" s="87"/>
      <c r="S205" s="86"/>
      <c r="T205" s="86"/>
      <c r="U205" s="86"/>
      <c r="V205" s="86"/>
      <c r="W205" s="86"/>
      <c r="X205" s="88"/>
      <c r="Y205" s="86"/>
      <c r="Z205" s="86"/>
      <c r="AA205" s="86"/>
      <c r="AB205" s="86"/>
      <c r="AC205" s="86"/>
      <c r="AD205" s="86"/>
      <c r="AE205" s="86"/>
    </row>
    <row r="206" spans="1:31">
      <c r="A206" s="85"/>
      <c r="B206" s="91"/>
      <c r="C206" s="86"/>
      <c r="D206" s="75"/>
      <c r="E206" s="75"/>
      <c r="F206" s="86"/>
      <c r="G206" s="75"/>
      <c r="H206" s="86"/>
      <c r="I206" s="86"/>
      <c r="J206" s="86"/>
      <c r="K206" s="93"/>
      <c r="L206" s="86"/>
      <c r="M206" s="86"/>
      <c r="N206" s="86"/>
      <c r="O206" s="86"/>
      <c r="P206" s="87"/>
      <c r="Q206" s="87"/>
      <c r="R206" s="87"/>
      <c r="S206" s="86"/>
      <c r="T206" s="86"/>
      <c r="U206" s="86"/>
      <c r="V206" s="86"/>
      <c r="W206" s="86"/>
      <c r="X206" s="88"/>
      <c r="Y206" s="86"/>
      <c r="Z206" s="86"/>
      <c r="AA206" s="86"/>
      <c r="AB206" s="86"/>
      <c r="AC206" s="86"/>
      <c r="AD206" s="86"/>
      <c r="AE206" s="86"/>
    </row>
    <row r="207" spans="1:31">
      <c r="A207" s="85"/>
      <c r="B207" s="86"/>
      <c r="C207" s="86"/>
      <c r="D207" s="75"/>
      <c r="E207" s="75"/>
      <c r="F207" s="86"/>
      <c r="G207" s="86"/>
      <c r="H207" s="86"/>
      <c r="I207" s="86"/>
      <c r="J207" s="86"/>
      <c r="K207" s="86"/>
      <c r="L207" s="86"/>
      <c r="M207" s="86"/>
      <c r="N207" s="86"/>
      <c r="O207" s="86"/>
      <c r="P207" s="87"/>
      <c r="Q207" s="87"/>
      <c r="R207" s="87"/>
      <c r="S207" s="86"/>
      <c r="T207" s="86"/>
      <c r="U207" s="86"/>
      <c r="V207" s="86"/>
      <c r="W207" s="86"/>
      <c r="X207" s="88"/>
      <c r="Y207" s="86"/>
      <c r="Z207" s="86"/>
      <c r="AA207" s="86"/>
      <c r="AB207" s="86"/>
      <c r="AC207" s="86"/>
      <c r="AD207" s="86"/>
      <c r="AE207" s="86"/>
    </row>
    <row r="208" spans="1:31">
      <c r="A208" s="85"/>
      <c r="B208" s="86"/>
      <c r="C208" s="86"/>
      <c r="D208" s="75"/>
      <c r="E208" s="75"/>
      <c r="F208" s="86"/>
      <c r="G208" s="86"/>
      <c r="H208" s="86"/>
      <c r="I208" s="93"/>
      <c r="J208" s="86"/>
      <c r="K208" s="86"/>
      <c r="L208" s="86"/>
      <c r="M208" s="86"/>
      <c r="N208" s="86"/>
      <c r="O208" s="86"/>
      <c r="P208" s="87"/>
      <c r="Q208" s="87"/>
      <c r="R208" s="87"/>
      <c r="S208" s="86"/>
      <c r="T208" s="96"/>
      <c r="U208" s="86"/>
      <c r="V208" s="96"/>
      <c r="W208" s="86"/>
      <c r="X208" s="88"/>
      <c r="Y208" s="86"/>
      <c r="Z208" s="86"/>
      <c r="AA208" s="86"/>
      <c r="AB208" s="86"/>
      <c r="AC208" s="86"/>
      <c r="AD208" s="86"/>
      <c r="AE208" s="86"/>
    </row>
    <row r="209" spans="1:31">
      <c r="A209" s="85"/>
      <c r="B209" s="86"/>
      <c r="C209" s="86"/>
      <c r="D209" s="75"/>
      <c r="E209" s="75"/>
      <c r="F209" s="86"/>
      <c r="G209" s="86"/>
      <c r="H209" s="86"/>
      <c r="I209" s="86"/>
      <c r="J209" s="86"/>
      <c r="K209" s="86"/>
      <c r="L209" s="86"/>
      <c r="M209" s="86"/>
      <c r="N209" s="86"/>
      <c r="O209" s="86"/>
      <c r="P209" s="87"/>
      <c r="Q209" s="87"/>
      <c r="R209" s="87"/>
      <c r="S209" s="86"/>
      <c r="T209" s="86"/>
      <c r="U209" s="86"/>
      <c r="V209" s="86"/>
      <c r="W209" s="86"/>
      <c r="X209" s="88"/>
      <c r="Y209" s="86"/>
      <c r="Z209" s="86"/>
      <c r="AA209" s="86"/>
      <c r="AB209" s="86"/>
      <c r="AC209" s="86"/>
      <c r="AD209" s="86"/>
      <c r="AE209" s="86"/>
    </row>
    <row r="210" spans="1:31">
      <c r="A210" s="85"/>
      <c r="B210" s="86"/>
      <c r="C210" s="86"/>
      <c r="D210" s="75"/>
      <c r="E210" s="75"/>
      <c r="F210" s="86"/>
      <c r="G210" s="75"/>
      <c r="H210" s="86"/>
      <c r="I210" s="86"/>
      <c r="J210" s="86"/>
      <c r="K210" s="93"/>
      <c r="L210" s="86"/>
      <c r="M210" s="86"/>
      <c r="N210" s="86"/>
      <c r="O210" s="86"/>
      <c r="P210" s="87"/>
      <c r="Q210" s="87"/>
      <c r="R210" s="87"/>
      <c r="S210" s="86"/>
      <c r="T210" s="86"/>
      <c r="U210" s="86"/>
      <c r="V210" s="86"/>
      <c r="W210" s="86"/>
      <c r="X210" s="88"/>
      <c r="Y210" s="86"/>
      <c r="Z210" s="86"/>
      <c r="AA210" s="86"/>
      <c r="AB210" s="86"/>
      <c r="AC210" s="86"/>
      <c r="AD210" s="86"/>
      <c r="AE210" s="86"/>
    </row>
    <row r="211" spans="1:31">
      <c r="A211" s="85"/>
      <c r="B211" s="86"/>
      <c r="C211" s="86"/>
      <c r="D211" s="75"/>
      <c r="E211" s="75"/>
      <c r="F211" s="86"/>
      <c r="G211" s="86"/>
      <c r="H211" s="86"/>
      <c r="I211" s="86"/>
      <c r="J211" s="86"/>
      <c r="K211" s="86"/>
      <c r="L211" s="86"/>
      <c r="M211" s="86"/>
      <c r="N211" s="86"/>
      <c r="O211" s="86"/>
      <c r="P211" s="87"/>
      <c r="Q211" s="87"/>
      <c r="R211" s="87"/>
      <c r="S211" s="86"/>
      <c r="T211" s="86"/>
      <c r="U211" s="86"/>
      <c r="V211" s="91"/>
      <c r="W211" s="86"/>
      <c r="X211" s="98"/>
      <c r="Y211" s="86"/>
      <c r="Z211" s="86"/>
      <c r="AA211" s="86"/>
      <c r="AB211" s="86"/>
      <c r="AC211" s="86"/>
      <c r="AD211" s="86"/>
      <c r="AE211" s="86"/>
    </row>
    <row r="212" spans="1:31">
      <c r="A212" s="85"/>
      <c r="B212" s="86"/>
      <c r="C212" s="86"/>
      <c r="D212" s="75"/>
      <c r="E212" s="75"/>
      <c r="F212" s="86"/>
      <c r="G212" s="86"/>
      <c r="H212" s="86"/>
      <c r="I212" s="86"/>
      <c r="J212" s="86"/>
      <c r="K212" s="86"/>
      <c r="L212" s="86"/>
      <c r="M212" s="86"/>
      <c r="N212" s="86"/>
      <c r="O212" s="86"/>
      <c r="P212" s="87"/>
      <c r="Q212" s="87"/>
      <c r="R212" s="87"/>
      <c r="S212" s="86"/>
      <c r="T212" s="86"/>
      <c r="U212" s="86"/>
      <c r="V212" s="86"/>
      <c r="W212" s="86"/>
      <c r="X212" s="88"/>
      <c r="Y212" s="86"/>
      <c r="Z212" s="86"/>
      <c r="AA212" s="86"/>
      <c r="AB212" s="86"/>
      <c r="AC212" s="86"/>
      <c r="AD212" s="86"/>
      <c r="AE212" s="86"/>
    </row>
    <row r="213" spans="1:31">
      <c r="A213" s="85"/>
      <c r="B213" s="86"/>
      <c r="C213" s="86"/>
      <c r="D213" s="75"/>
      <c r="E213" s="75"/>
      <c r="F213" s="86"/>
      <c r="G213" s="86"/>
      <c r="H213" s="86"/>
      <c r="I213" s="86"/>
      <c r="J213" s="86"/>
      <c r="K213" s="86"/>
      <c r="L213" s="86"/>
      <c r="M213" s="86"/>
      <c r="N213" s="86"/>
      <c r="O213" s="86"/>
      <c r="P213" s="87"/>
      <c r="Q213" s="87"/>
      <c r="R213" s="87"/>
      <c r="S213" s="86"/>
      <c r="T213" s="86"/>
      <c r="U213" s="86"/>
      <c r="V213" s="86"/>
      <c r="W213" s="86"/>
      <c r="X213" s="88"/>
      <c r="Y213" s="86"/>
      <c r="Z213" s="86"/>
      <c r="AA213" s="86"/>
      <c r="AB213" s="86"/>
      <c r="AC213" s="86"/>
      <c r="AD213" s="86"/>
      <c r="AE213" s="86"/>
    </row>
    <row r="214" spans="1:31">
      <c r="A214" s="85"/>
      <c r="B214" s="86"/>
      <c r="C214" s="86"/>
      <c r="D214" s="75"/>
      <c r="E214" s="75"/>
      <c r="F214" s="86"/>
      <c r="G214" s="93"/>
      <c r="H214" s="86"/>
      <c r="I214" s="93"/>
      <c r="J214" s="86"/>
      <c r="K214" s="86"/>
      <c r="L214" s="86"/>
      <c r="M214" s="93"/>
      <c r="N214" s="86"/>
      <c r="O214" s="93"/>
      <c r="P214" s="87"/>
      <c r="Q214" s="87"/>
      <c r="R214" s="87"/>
      <c r="S214" s="86"/>
      <c r="T214" s="96"/>
      <c r="U214" s="93"/>
      <c r="V214" s="96"/>
      <c r="W214" s="86"/>
      <c r="X214" s="88"/>
      <c r="Y214" s="86"/>
      <c r="Z214" s="86"/>
      <c r="AA214" s="86"/>
      <c r="AB214" s="86"/>
      <c r="AC214" s="86"/>
      <c r="AD214" s="86"/>
      <c r="AE214" s="86"/>
    </row>
    <row r="215" spans="1:31">
      <c r="A215" s="85"/>
      <c r="B215" s="86"/>
      <c r="C215" s="86"/>
      <c r="D215" s="75"/>
      <c r="E215" s="75"/>
      <c r="F215" s="86"/>
      <c r="G215" s="86"/>
      <c r="H215" s="86"/>
      <c r="I215" s="86"/>
      <c r="J215" s="86"/>
      <c r="K215" s="86"/>
      <c r="L215" s="86"/>
      <c r="M215" s="86"/>
      <c r="N215" s="86"/>
      <c r="O215" s="86"/>
      <c r="P215" s="87"/>
      <c r="Q215" s="87"/>
      <c r="R215" s="87"/>
      <c r="S215" s="86"/>
      <c r="T215" s="86"/>
      <c r="U215" s="86"/>
      <c r="V215" s="86"/>
      <c r="W215" s="86"/>
      <c r="X215" s="88"/>
      <c r="Y215" s="86"/>
      <c r="Z215" s="86"/>
      <c r="AA215" s="86"/>
      <c r="AB215" s="86"/>
      <c r="AC215" s="86"/>
      <c r="AD215" s="86"/>
      <c r="AE215" s="86"/>
    </row>
    <row r="216" spans="1:31">
      <c r="A216" s="85"/>
      <c r="B216" s="86"/>
      <c r="C216" s="86"/>
      <c r="D216" s="75"/>
      <c r="E216" s="75"/>
      <c r="F216" s="86"/>
      <c r="G216" s="86"/>
      <c r="H216" s="86"/>
      <c r="I216" s="86"/>
      <c r="J216" s="86"/>
      <c r="K216" s="86"/>
      <c r="L216" s="86"/>
      <c r="M216" s="86"/>
      <c r="N216" s="86"/>
      <c r="O216" s="86"/>
      <c r="P216" s="87"/>
      <c r="Q216" s="87"/>
      <c r="R216" s="87"/>
      <c r="S216" s="86"/>
      <c r="T216" s="93"/>
      <c r="U216" s="86"/>
      <c r="V216" s="86"/>
      <c r="W216" s="86"/>
      <c r="X216" s="88"/>
      <c r="Y216" s="86"/>
      <c r="Z216" s="86"/>
      <c r="AA216" s="86"/>
      <c r="AB216" s="86"/>
      <c r="AC216" s="86"/>
      <c r="AD216" s="86"/>
      <c r="AE216" s="86"/>
    </row>
    <row r="217" spans="1:31">
      <c r="A217" s="85"/>
      <c r="B217" s="86"/>
      <c r="C217" s="86"/>
      <c r="D217" s="75"/>
      <c r="E217" s="75"/>
      <c r="F217" s="86"/>
      <c r="G217" s="86"/>
      <c r="H217" s="86"/>
      <c r="I217" s="86"/>
      <c r="J217" s="86"/>
      <c r="K217" s="86"/>
      <c r="L217" s="86"/>
      <c r="M217" s="86"/>
      <c r="N217" s="86"/>
      <c r="O217" s="86"/>
      <c r="P217" s="87"/>
      <c r="Q217" s="87"/>
      <c r="R217" s="87"/>
      <c r="S217" s="86"/>
      <c r="T217" s="86"/>
      <c r="U217" s="86"/>
      <c r="V217" s="86"/>
      <c r="W217" s="86"/>
      <c r="X217" s="88"/>
      <c r="Y217" s="86"/>
      <c r="Z217" s="86"/>
      <c r="AA217" s="86"/>
      <c r="AB217" s="86"/>
      <c r="AC217" s="86"/>
      <c r="AD217" s="86"/>
      <c r="AE217" s="86"/>
    </row>
    <row r="218" spans="1:31">
      <c r="A218" s="85"/>
      <c r="B218" s="86"/>
      <c r="C218" s="86"/>
      <c r="D218" s="75"/>
      <c r="E218" s="75"/>
      <c r="F218" s="86"/>
      <c r="G218" s="86"/>
      <c r="H218" s="86"/>
      <c r="I218" s="86"/>
      <c r="J218" s="86"/>
      <c r="K218" s="86"/>
      <c r="L218" s="86"/>
      <c r="M218" s="86"/>
      <c r="N218" s="86"/>
      <c r="O218" s="86"/>
      <c r="P218" s="87"/>
      <c r="Q218" s="87"/>
      <c r="R218" s="87"/>
      <c r="S218" s="86"/>
      <c r="T218" s="86"/>
      <c r="U218" s="86"/>
      <c r="V218" s="86"/>
      <c r="W218" s="86"/>
      <c r="X218" s="88"/>
      <c r="Y218" s="86"/>
      <c r="Z218" s="86"/>
      <c r="AA218" s="86"/>
      <c r="AB218" s="86"/>
      <c r="AC218" s="86"/>
      <c r="AD218" s="86"/>
      <c r="AE218" s="86"/>
    </row>
    <row r="219" spans="1:31" ht="19.2" customHeight="1">
      <c r="A219" s="85"/>
      <c r="B219" s="86"/>
      <c r="C219" s="86"/>
      <c r="D219" s="92"/>
      <c r="E219" s="75"/>
      <c r="F219" s="86"/>
      <c r="G219" s="88"/>
      <c r="H219" s="86"/>
      <c r="I219" s="86"/>
      <c r="J219" s="86"/>
      <c r="K219" s="86"/>
      <c r="L219" s="86"/>
      <c r="M219" s="86"/>
      <c r="N219" s="86"/>
      <c r="O219" s="86"/>
      <c r="P219" s="87"/>
      <c r="Q219" s="87"/>
      <c r="R219" s="87"/>
      <c r="S219" s="86"/>
      <c r="T219" s="96"/>
      <c r="U219" s="86"/>
      <c r="V219" s="86"/>
      <c r="W219" s="86"/>
      <c r="X219" s="88"/>
      <c r="Y219" s="86"/>
      <c r="Z219" s="86"/>
      <c r="AA219" s="86"/>
      <c r="AB219" s="86"/>
      <c r="AC219" s="86"/>
      <c r="AD219" s="86"/>
      <c r="AE219" s="86"/>
    </row>
    <row r="220" spans="1:31">
      <c r="A220" s="85"/>
      <c r="B220" s="86"/>
      <c r="C220" s="86"/>
      <c r="D220" s="75"/>
      <c r="E220" s="75"/>
      <c r="F220" s="86"/>
      <c r="G220" s="99"/>
      <c r="H220" s="86"/>
      <c r="I220" s="99"/>
      <c r="J220" s="86"/>
      <c r="K220" s="86"/>
      <c r="L220" s="86"/>
      <c r="M220" s="93"/>
      <c r="N220" s="86"/>
      <c r="O220" s="86"/>
      <c r="P220" s="87"/>
      <c r="Q220" s="87"/>
      <c r="R220" s="87"/>
      <c r="S220" s="86"/>
      <c r="T220" s="96"/>
      <c r="U220" s="86"/>
      <c r="V220" s="93"/>
      <c r="W220" s="86"/>
      <c r="X220" s="88"/>
      <c r="Y220" s="86"/>
      <c r="Z220" s="86"/>
      <c r="AA220" s="86"/>
      <c r="AB220" s="86"/>
      <c r="AC220" s="86"/>
      <c r="AD220" s="86"/>
      <c r="AE220" s="86"/>
    </row>
    <row r="221" spans="1:31" ht="14.4">
      <c r="A221" s="85"/>
      <c r="B221" s="86"/>
      <c r="C221" s="86"/>
      <c r="D221" s="75"/>
      <c r="E221" s="75"/>
      <c r="F221" s="86"/>
      <c r="G221" s="96"/>
      <c r="H221" s="86"/>
      <c r="I221" s="96"/>
      <c r="J221" s="86"/>
      <c r="K221" s="86"/>
      <c r="L221" s="86"/>
      <c r="M221" s="86"/>
      <c r="N221" s="86"/>
      <c r="O221" s="86"/>
      <c r="P221" s="87"/>
      <c r="Q221" s="87"/>
      <c r="R221" s="87"/>
      <c r="S221" s="86"/>
      <c r="T221" s="86"/>
      <c r="U221" s="86"/>
      <c r="V221" s="101"/>
      <c r="W221" s="86"/>
      <c r="X221" s="88"/>
      <c r="Y221" s="86"/>
      <c r="Z221" s="86"/>
      <c r="AA221" s="86"/>
      <c r="AB221" s="86"/>
      <c r="AC221" s="86"/>
      <c r="AD221" s="86"/>
      <c r="AE221" s="86"/>
    </row>
    <row r="222" spans="1:31" ht="14.4">
      <c r="A222" s="85"/>
      <c r="B222" s="86"/>
      <c r="C222" s="86"/>
      <c r="D222" s="75"/>
      <c r="E222" s="77"/>
      <c r="F222" s="86"/>
      <c r="G222" s="96"/>
      <c r="H222" s="86"/>
      <c r="I222" s="96"/>
      <c r="J222" s="86"/>
      <c r="K222" s="86"/>
      <c r="L222" s="86"/>
      <c r="M222" s="86"/>
      <c r="N222" s="86"/>
      <c r="O222" s="86"/>
      <c r="P222" s="87"/>
      <c r="Q222" s="87"/>
      <c r="R222" s="87"/>
      <c r="S222" s="86"/>
      <c r="T222" s="86"/>
      <c r="U222" s="86"/>
      <c r="V222" s="101"/>
      <c r="W222" s="86"/>
      <c r="X222" s="88"/>
      <c r="Y222" s="86"/>
      <c r="Z222" s="86"/>
      <c r="AA222" s="86"/>
      <c r="AB222" s="86"/>
      <c r="AC222" s="86"/>
      <c r="AD222" s="86"/>
      <c r="AE222" s="86"/>
    </row>
    <row r="223" spans="1:31">
      <c r="A223" s="85"/>
      <c r="B223" s="86"/>
      <c r="C223" s="86"/>
      <c r="D223" s="75"/>
      <c r="E223" s="75"/>
      <c r="F223" s="86"/>
      <c r="G223" s="96"/>
      <c r="H223" s="86"/>
      <c r="I223" s="96"/>
      <c r="J223" s="86"/>
      <c r="K223" s="86"/>
      <c r="L223" s="86"/>
      <c r="M223" s="86"/>
      <c r="N223" s="86"/>
      <c r="O223" s="86"/>
      <c r="P223" s="87"/>
      <c r="Q223" s="87"/>
      <c r="R223" s="87"/>
      <c r="S223" s="86"/>
      <c r="T223" s="86"/>
      <c r="U223" s="86"/>
      <c r="V223" s="86"/>
      <c r="W223" s="86"/>
      <c r="X223" s="88"/>
      <c r="Y223" s="86"/>
      <c r="Z223" s="86"/>
      <c r="AA223" s="86"/>
      <c r="AB223" s="86"/>
      <c r="AC223" s="86"/>
      <c r="AD223" s="86"/>
      <c r="AE223" s="86"/>
    </row>
    <row r="224" spans="1:31">
      <c r="A224" s="85"/>
      <c r="B224" s="86"/>
      <c r="C224" s="86"/>
      <c r="D224" s="98"/>
      <c r="E224" s="75"/>
      <c r="F224" s="86"/>
      <c r="G224" s="96"/>
      <c r="H224" s="86"/>
      <c r="I224" s="96"/>
      <c r="J224" s="86"/>
      <c r="K224" s="86"/>
      <c r="L224" s="86"/>
      <c r="M224" s="86"/>
      <c r="N224" s="86"/>
      <c r="O224" s="86"/>
      <c r="P224" s="87"/>
      <c r="Q224" s="87"/>
      <c r="R224" s="87"/>
      <c r="S224" s="86"/>
      <c r="T224" s="86"/>
      <c r="U224" s="86"/>
      <c r="V224" s="86"/>
      <c r="W224" s="86"/>
      <c r="X224" s="88"/>
      <c r="Y224" s="86"/>
      <c r="Z224" s="86"/>
      <c r="AA224" s="86"/>
      <c r="AB224" s="86"/>
      <c r="AC224" s="86"/>
      <c r="AD224" s="86"/>
      <c r="AE224" s="86"/>
    </row>
    <row r="225" spans="1:5">
      <c r="A225" s="9"/>
      <c r="D225" s="10"/>
      <c r="E225" s="10"/>
    </row>
    <row r="226" spans="1:5">
      <c r="A226" s="9"/>
      <c r="D226" s="10"/>
      <c r="E226" s="10"/>
    </row>
    <row r="227" spans="1:5">
      <c r="A227" s="9"/>
      <c r="D227" s="10"/>
      <c r="E227" s="10"/>
    </row>
    <row r="228" spans="1:5">
      <c r="A228" s="9"/>
      <c r="D228" s="10"/>
      <c r="E228" s="10"/>
    </row>
    <row r="229" spans="1:5">
      <c r="A229" s="9"/>
      <c r="D229" s="10"/>
      <c r="E229" s="10"/>
    </row>
    <row r="230" spans="1:5">
      <c r="A230" s="9"/>
      <c r="D230" s="10"/>
      <c r="E230" s="10"/>
    </row>
    <row r="231" spans="1:5">
      <c r="A231" s="9"/>
      <c r="D231" s="10"/>
      <c r="E231" s="10"/>
    </row>
    <row r="232" spans="1:5">
      <c r="A232" s="9"/>
      <c r="D232" s="10"/>
      <c r="E232" s="10"/>
    </row>
    <row r="233" spans="1:5">
      <c r="A233" s="9"/>
      <c r="D233" s="10"/>
      <c r="E233" s="10"/>
    </row>
    <row r="234" spans="1:5">
      <c r="A234" s="9"/>
      <c r="D234" s="10"/>
      <c r="E234" s="10"/>
    </row>
    <row r="235" spans="1:5">
      <c r="A235" s="9"/>
      <c r="D235" s="10"/>
      <c r="E235" s="10"/>
    </row>
    <row r="236" spans="1:5">
      <c r="A236" s="9"/>
      <c r="D236" s="10"/>
      <c r="E236" s="10"/>
    </row>
    <row r="237" spans="1:5">
      <c r="A237" s="9"/>
      <c r="D237" s="10"/>
      <c r="E237" s="10"/>
    </row>
    <row r="238" spans="1:5">
      <c r="A238" s="9"/>
      <c r="D238" s="10"/>
      <c r="E238" s="10"/>
    </row>
    <row r="239" spans="1:5">
      <c r="A239" s="9"/>
      <c r="D239" s="10"/>
      <c r="E239" s="10"/>
    </row>
    <row r="240" spans="1:5">
      <c r="A240" s="9"/>
      <c r="D240" s="10"/>
      <c r="E240" s="10"/>
    </row>
    <row r="241" spans="1:5">
      <c r="A241" s="9"/>
      <c r="D241" s="10"/>
      <c r="E241" s="10"/>
    </row>
    <row r="242" spans="1:5">
      <c r="A242" s="9"/>
      <c r="D242" s="10"/>
      <c r="E242" s="10"/>
    </row>
    <row r="243" spans="1:5">
      <c r="A243" s="9"/>
      <c r="D243" s="10"/>
      <c r="E243" s="10"/>
    </row>
    <row r="244" spans="1:5">
      <c r="A244" s="9"/>
      <c r="D244" s="10"/>
      <c r="E244" s="10"/>
    </row>
    <row r="245" spans="1:5">
      <c r="A245" s="9"/>
      <c r="D245" s="10"/>
      <c r="E245" s="10"/>
    </row>
    <row r="246" spans="1:5">
      <c r="A246" s="9"/>
      <c r="D246" s="10"/>
      <c r="E246" s="10"/>
    </row>
    <row r="247" spans="1:5">
      <c r="A247" s="9"/>
      <c r="D247" s="10"/>
      <c r="E247" s="10"/>
    </row>
    <row r="248" spans="1:5">
      <c r="A248" s="9"/>
      <c r="D248" s="10"/>
      <c r="E248" s="10"/>
    </row>
    <row r="249" spans="1:5">
      <c r="A249" s="9"/>
      <c r="D249" s="10"/>
      <c r="E249" s="10"/>
    </row>
    <row r="250" spans="1:5">
      <c r="A250" s="9"/>
      <c r="D250" s="10"/>
      <c r="E250" s="10"/>
    </row>
    <row r="251" spans="1:5">
      <c r="A251" s="9"/>
      <c r="D251" s="10"/>
      <c r="E251" s="10"/>
    </row>
    <row r="252" spans="1:5">
      <c r="A252" s="9"/>
      <c r="D252" s="10"/>
      <c r="E252" s="10"/>
    </row>
    <row r="253" spans="1:5">
      <c r="A253" s="9"/>
      <c r="D253" s="10"/>
      <c r="E253" s="10"/>
    </row>
    <row r="254" spans="1:5">
      <c r="A254" s="9"/>
      <c r="D254" s="10"/>
      <c r="E254" s="10"/>
    </row>
    <row r="255" spans="1:5">
      <c r="A255" s="9"/>
      <c r="D255" s="10"/>
      <c r="E255" s="10"/>
    </row>
    <row r="256" spans="1:5">
      <c r="A256" s="9"/>
      <c r="D256" s="10"/>
      <c r="E256" s="10"/>
    </row>
    <row r="257" spans="1:5">
      <c r="A257" s="9"/>
      <c r="D257" s="10"/>
      <c r="E257" s="10"/>
    </row>
    <row r="258" spans="1:5">
      <c r="A258" s="9"/>
      <c r="D258" s="10"/>
      <c r="E258" s="10"/>
    </row>
    <row r="259" spans="1:5">
      <c r="A259" s="9"/>
      <c r="D259" s="10"/>
      <c r="E259" s="10"/>
    </row>
    <row r="260" spans="1:5">
      <c r="A260" s="9"/>
      <c r="D260" s="10"/>
      <c r="E260" s="10"/>
    </row>
    <row r="261" spans="1:5">
      <c r="A261" s="9"/>
      <c r="D261" s="10"/>
      <c r="E261" s="10"/>
    </row>
    <row r="262" spans="1:5">
      <c r="A262" s="9"/>
      <c r="D262" s="10"/>
      <c r="E262" s="10"/>
    </row>
    <row r="263" spans="1:5">
      <c r="A263" s="9"/>
      <c r="D263" s="10"/>
      <c r="E263" s="10"/>
    </row>
    <row r="264" spans="1:5">
      <c r="A264" s="9"/>
      <c r="D264" s="10"/>
      <c r="E264" s="10"/>
    </row>
    <row r="265" spans="1:5">
      <c r="A265" s="9"/>
      <c r="D265" s="10"/>
      <c r="E265" s="10"/>
    </row>
    <row r="266" spans="1:5">
      <c r="A266" s="9"/>
      <c r="D266" s="10"/>
      <c r="E266" s="10"/>
    </row>
    <row r="267" spans="1:5">
      <c r="A267" s="9"/>
      <c r="D267" s="10"/>
      <c r="E267" s="10"/>
    </row>
    <row r="268" spans="1:5">
      <c r="A268" s="9"/>
      <c r="D268" s="10"/>
      <c r="E268" s="10"/>
    </row>
    <row r="269" spans="1:5">
      <c r="A269" s="9"/>
      <c r="D269" s="10"/>
      <c r="E269" s="10"/>
    </row>
    <row r="270" spans="1:5">
      <c r="A270" s="9"/>
      <c r="D270" s="10"/>
      <c r="E270" s="10"/>
    </row>
    <row r="271" spans="1:5">
      <c r="A271" s="9"/>
      <c r="D271" s="10"/>
      <c r="E271" s="10"/>
    </row>
    <row r="272" spans="1:5">
      <c r="A272" s="9"/>
      <c r="D272" s="10"/>
      <c r="E272" s="10"/>
    </row>
    <row r="273" spans="1:5">
      <c r="A273" s="9"/>
      <c r="D273" s="10"/>
      <c r="E273" s="10"/>
    </row>
    <row r="274" spans="1:5">
      <c r="A274" s="9"/>
      <c r="D274" s="10"/>
      <c r="E274" s="10"/>
    </row>
    <row r="275" spans="1:5">
      <c r="A275" s="9"/>
      <c r="D275" s="10"/>
      <c r="E275" s="10"/>
    </row>
    <row r="276" spans="1:5">
      <c r="A276" s="9"/>
      <c r="D276" s="10"/>
      <c r="E276" s="10"/>
    </row>
    <row r="277" spans="1:5">
      <c r="A277" s="9"/>
      <c r="D277" s="10"/>
      <c r="E277" s="10"/>
    </row>
    <row r="278" spans="1:5">
      <c r="A278" s="9"/>
      <c r="D278" s="10"/>
      <c r="E278" s="10"/>
    </row>
    <row r="279" spans="1:5">
      <c r="A279" s="9"/>
      <c r="D279" s="10"/>
      <c r="E279" s="10"/>
    </row>
    <row r="280" spans="1:5">
      <c r="A280" s="9"/>
      <c r="D280" s="10"/>
      <c r="E280" s="10"/>
    </row>
    <row r="281" spans="1:5">
      <c r="A281" s="9"/>
      <c r="D281" s="10"/>
      <c r="E281" s="10"/>
    </row>
    <row r="282" spans="1:5">
      <c r="A282" s="9"/>
      <c r="D282" s="10"/>
      <c r="E282" s="10"/>
    </row>
    <row r="283" spans="1:5">
      <c r="A283" s="9"/>
      <c r="D283" s="10"/>
      <c r="E283" s="10"/>
    </row>
    <row r="284" spans="1:5">
      <c r="A284" s="9"/>
      <c r="D284" s="10"/>
      <c r="E284" s="10"/>
    </row>
    <row r="285" spans="1:5">
      <c r="A285" s="9"/>
      <c r="D285" s="10"/>
      <c r="E285" s="10"/>
    </row>
    <row r="286" spans="1:5">
      <c r="A286" s="9"/>
      <c r="D286" s="10"/>
      <c r="E286" s="10"/>
    </row>
    <row r="287" spans="1:5">
      <c r="A287" s="9"/>
      <c r="D287" s="10"/>
      <c r="E287" s="10"/>
    </row>
    <row r="288" spans="1:5">
      <c r="A288" s="9"/>
      <c r="D288" s="10"/>
      <c r="E288" s="10"/>
    </row>
    <row r="289" spans="1:5">
      <c r="A289" s="9"/>
      <c r="D289" s="10"/>
      <c r="E289" s="10"/>
    </row>
    <row r="290" spans="1:5">
      <c r="A290" s="9"/>
      <c r="D290" s="10"/>
      <c r="E290" s="10"/>
    </row>
    <row r="291" spans="1:5">
      <c r="A291" s="9"/>
      <c r="D291" s="10"/>
      <c r="E291" s="10"/>
    </row>
    <row r="292" spans="1:5">
      <c r="A292" s="9"/>
      <c r="D292" s="10"/>
      <c r="E292" s="10"/>
    </row>
    <row r="293" spans="1:5">
      <c r="A293" s="9"/>
      <c r="D293" s="10"/>
      <c r="E293" s="10"/>
    </row>
    <row r="294" spans="1:5">
      <c r="A294" s="9"/>
      <c r="D294" s="10"/>
      <c r="E294" s="10"/>
    </row>
    <row r="295" spans="1:5">
      <c r="A295" s="9"/>
      <c r="D295" s="10"/>
      <c r="E295" s="10"/>
    </row>
    <row r="296" spans="1:5">
      <c r="A296" s="9"/>
      <c r="D296" s="10"/>
      <c r="E296" s="10"/>
    </row>
    <row r="297" spans="1:5">
      <c r="A297" s="9"/>
      <c r="D297" s="10"/>
      <c r="E297" s="10"/>
    </row>
    <row r="298" spans="1:5">
      <c r="A298" s="9"/>
      <c r="D298" s="10"/>
      <c r="E298" s="10"/>
    </row>
    <row r="299" spans="1:5">
      <c r="A299" s="9"/>
      <c r="D299" s="10"/>
      <c r="E299" s="10"/>
    </row>
    <row r="300" spans="1:5">
      <c r="A300" s="9"/>
      <c r="D300" s="10"/>
      <c r="E300" s="10"/>
    </row>
    <row r="301" spans="1:5">
      <c r="A301" s="9"/>
      <c r="D301" s="10"/>
      <c r="E301" s="10"/>
    </row>
    <row r="302" spans="1:5">
      <c r="A302" s="9"/>
      <c r="D302" s="10"/>
      <c r="E302" s="10"/>
    </row>
    <row r="303" spans="1:5">
      <c r="A303" s="9"/>
      <c r="D303" s="10"/>
      <c r="E303" s="10"/>
    </row>
    <row r="304" spans="1:5">
      <c r="A304" s="9"/>
      <c r="D304" s="10"/>
      <c r="E304" s="10"/>
    </row>
    <row r="305" spans="1:5">
      <c r="A305" s="9"/>
      <c r="D305" s="10"/>
      <c r="E305" s="10"/>
    </row>
    <row r="306" spans="1:5">
      <c r="A306" s="9"/>
      <c r="D306" s="10"/>
      <c r="E306" s="10"/>
    </row>
    <row r="307" spans="1:5">
      <c r="A307" s="9"/>
      <c r="D307" s="10"/>
      <c r="E307" s="10"/>
    </row>
    <row r="308" spans="1:5">
      <c r="A308" s="9"/>
      <c r="D308" s="10"/>
      <c r="E308" s="10"/>
    </row>
    <row r="309" spans="1:5">
      <c r="A309" s="9"/>
      <c r="D309" s="10"/>
      <c r="E309" s="10"/>
    </row>
    <row r="310" spans="1:5">
      <c r="A310" s="9"/>
      <c r="D310" s="10"/>
      <c r="E310" s="10"/>
    </row>
    <row r="311" spans="1:5">
      <c r="A311" s="9"/>
      <c r="D311" s="10"/>
      <c r="E311" s="10"/>
    </row>
    <row r="312" spans="1:5">
      <c r="A312" s="9"/>
      <c r="D312" s="10"/>
      <c r="E312" s="10"/>
    </row>
    <row r="313" spans="1:5">
      <c r="A313" s="9"/>
      <c r="D313" s="10"/>
      <c r="E313" s="10"/>
    </row>
    <row r="314" spans="1:5">
      <c r="A314" s="9"/>
      <c r="D314" s="10"/>
      <c r="E314" s="10"/>
    </row>
    <row r="315" spans="1:5">
      <c r="A315" s="9"/>
      <c r="D315" s="10"/>
      <c r="E315" s="10"/>
    </row>
    <row r="316" spans="1:5">
      <c r="A316" s="9"/>
      <c r="D316" s="10"/>
      <c r="E316" s="10"/>
    </row>
    <row r="317" spans="1:5">
      <c r="A317" s="9"/>
      <c r="D317" s="10"/>
      <c r="E317" s="10"/>
    </row>
    <row r="318" spans="1:5">
      <c r="A318" s="9"/>
      <c r="D318" s="10"/>
      <c r="E318" s="10"/>
    </row>
    <row r="319" spans="1:5">
      <c r="A319" s="9"/>
      <c r="D319" s="10"/>
      <c r="E319" s="10"/>
    </row>
    <row r="320" spans="1:5">
      <c r="A320" s="9"/>
      <c r="D320" s="10"/>
      <c r="E320" s="10"/>
    </row>
    <row r="321" spans="1:5">
      <c r="A321" s="9"/>
      <c r="D321" s="10"/>
      <c r="E321" s="10"/>
    </row>
    <row r="322" spans="1:5">
      <c r="A322" s="9"/>
      <c r="D322" s="10"/>
      <c r="E322" s="10"/>
    </row>
    <row r="323" spans="1:5">
      <c r="A323" s="9"/>
      <c r="D323" s="10"/>
      <c r="E323" s="10"/>
    </row>
    <row r="324" spans="1:5">
      <c r="A324" s="9"/>
      <c r="D324" s="10"/>
      <c r="E324" s="10"/>
    </row>
    <row r="325" spans="1:5">
      <c r="A325" s="9"/>
      <c r="D325" s="10"/>
      <c r="E325" s="10"/>
    </row>
    <row r="326" spans="1:5">
      <c r="A326" s="9"/>
      <c r="D326" s="10"/>
      <c r="E326" s="10"/>
    </row>
    <row r="327" spans="1:5">
      <c r="A327" s="9"/>
      <c r="D327" s="10"/>
      <c r="E327" s="10"/>
    </row>
    <row r="328" spans="1:5">
      <c r="A328" s="9"/>
      <c r="D328" s="10"/>
      <c r="E328" s="10"/>
    </row>
    <row r="329" spans="1:5">
      <c r="A329" s="9"/>
      <c r="D329" s="10"/>
      <c r="E329" s="10"/>
    </row>
    <row r="330" spans="1:5">
      <c r="A330" s="9"/>
      <c r="D330" s="10"/>
      <c r="E330" s="10"/>
    </row>
    <row r="331" spans="1:5">
      <c r="A331" s="9"/>
      <c r="D331" s="10"/>
      <c r="E331" s="10"/>
    </row>
    <row r="332" spans="1:5">
      <c r="A332" s="9"/>
      <c r="D332" s="10"/>
      <c r="E332" s="10"/>
    </row>
    <row r="333" spans="1:5">
      <c r="A333" s="9"/>
      <c r="D333" s="10"/>
      <c r="E333" s="10"/>
    </row>
    <row r="334" spans="1:5">
      <c r="A334" s="9"/>
      <c r="D334" s="10"/>
      <c r="E334" s="10"/>
    </row>
    <row r="335" spans="1:5">
      <c r="A335" s="9"/>
      <c r="D335" s="10"/>
      <c r="E335" s="10"/>
    </row>
    <row r="336" spans="1:5">
      <c r="A336" s="9"/>
      <c r="D336" s="10"/>
      <c r="E336" s="10"/>
    </row>
    <row r="337" spans="1:5">
      <c r="A337" s="9"/>
      <c r="D337" s="10"/>
      <c r="E337" s="10"/>
    </row>
    <row r="338" spans="1:5">
      <c r="A338" s="9"/>
      <c r="D338" s="10"/>
      <c r="E338" s="10"/>
    </row>
    <row r="339" spans="1:5">
      <c r="A339" s="9"/>
      <c r="D339" s="10"/>
      <c r="E339" s="10"/>
    </row>
    <row r="340" spans="1:5">
      <c r="A340" s="9"/>
      <c r="D340" s="10"/>
      <c r="E340" s="10"/>
    </row>
    <row r="341" spans="1:5">
      <c r="A341" s="9"/>
      <c r="D341" s="10"/>
      <c r="E341" s="10"/>
    </row>
    <row r="342" spans="1:5">
      <c r="A342" s="9"/>
      <c r="D342" s="10"/>
      <c r="E342" s="10"/>
    </row>
    <row r="343" spans="1:5">
      <c r="A343" s="9"/>
      <c r="D343" s="10"/>
      <c r="E343" s="10"/>
    </row>
    <row r="344" spans="1:5">
      <c r="A344" s="9"/>
      <c r="D344" s="10"/>
      <c r="E344" s="10"/>
    </row>
    <row r="345" spans="1:5">
      <c r="A345" s="9"/>
      <c r="D345" s="10"/>
      <c r="E345" s="10"/>
    </row>
    <row r="346" spans="1:5">
      <c r="A346" s="9"/>
      <c r="D346" s="10"/>
      <c r="E346" s="10"/>
    </row>
    <row r="347" spans="1:5">
      <c r="A347" s="9"/>
      <c r="D347" s="10"/>
      <c r="E347" s="10"/>
    </row>
    <row r="348" spans="1:5">
      <c r="A348" s="9"/>
      <c r="D348" s="10"/>
      <c r="E348" s="10"/>
    </row>
    <row r="349" spans="1:5">
      <c r="A349" s="9"/>
      <c r="D349" s="10"/>
      <c r="E349" s="10"/>
    </row>
    <row r="350" spans="1:5">
      <c r="A350" s="9"/>
      <c r="D350" s="10"/>
      <c r="E350" s="10"/>
    </row>
    <row r="351" spans="1:5">
      <c r="A351" s="9"/>
      <c r="D351" s="10"/>
      <c r="E351" s="10"/>
    </row>
    <row r="352" spans="1:5">
      <c r="A352" s="9"/>
      <c r="D352" s="10"/>
      <c r="E352" s="10"/>
    </row>
    <row r="353" spans="1:5">
      <c r="A353" s="9"/>
      <c r="D353" s="10"/>
      <c r="E353" s="10"/>
    </row>
    <row r="354" spans="1:5">
      <c r="A354" s="9"/>
      <c r="D354" s="10"/>
      <c r="E354" s="10"/>
    </row>
    <row r="355" spans="1:5">
      <c r="A355" s="9"/>
      <c r="D355" s="10"/>
      <c r="E355" s="10"/>
    </row>
    <row r="356" spans="1:5">
      <c r="A356" s="9"/>
      <c r="D356" s="10"/>
      <c r="E356" s="10"/>
    </row>
    <row r="357" spans="1:5">
      <c r="A357" s="9"/>
      <c r="D357" s="10"/>
      <c r="E357" s="10"/>
    </row>
    <row r="358" spans="1:5">
      <c r="A358" s="9"/>
      <c r="D358" s="10"/>
      <c r="E358" s="10"/>
    </row>
    <row r="359" spans="1:5">
      <c r="A359" s="9"/>
      <c r="D359" s="10"/>
      <c r="E359" s="10"/>
    </row>
    <row r="360" spans="1:5">
      <c r="A360" s="9"/>
      <c r="D360" s="10"/>
      <c r="E360" s="10"/>
    </row>
    <row r="361" spans="1:5">
      <c r="A361" s="9"/>
      <c r="D361" s="10"/>
      <c r="E361" s="10"/>
    </row>
    <row r="362" spans="1:5">
      <c r="A362" s="9"/>
      <c r="D362" s="10"/>
      <c r="E362" s="10"/>
    </row>
    <row r="363" spans="1:5">
      <c r="A363" s="9"/>
      <c r="D363" s="10"/>
      <c r="E363" s="10"/>
    </row>
    <row r="364" spans="1:5">
      <c r="A364" s="9"/>
      <c r="D364" s="10"/>
      <c r="E364" s="10"/>
    </row>
    <row r="365" spans="1:5">
      <c r="A365" s="9"/>
      <c r="D365" s="10"/>
      <c r="E365" s="10"/>
    </row>
    <row r="366" spans="1:5">
      <c r="A366" s="9"/>
      <c r="D366" s="10"/>
      <c r="E366" s="10"/>
    </row>
    <row r="367" spans="1:5">
      <c r="A367" s="9"/>
      <c r="D367" s="10"/>
      <c r="E367" s="10"/>
    </row>
    <row r="368" spans="1:5">
      <c r="A368" s="9"/>
      <c r="D368" s="10"/>
      <c r="E368" s="10"/>
    </row>
    <row r="369" spans="1:5">
      <c r="A369" s="9"/>
      <c r="D369" s="10"/>
      <c r="E369" s="10"/>
    </row>
    <row r="370" spans="1:5">
      <c r="A370" s="9"/>
      <c r="D370" s="10"/>
      <c r="E370" s="10"/>
    </row>
    <row r="371" spans="1:5">
      <c r="A371" s="9"/>
      <c r="D371" s="10"/>
      <c r="E371" s="10"/>
    </row>
    <row r="372" spans="1:5">
      <c r="A372" s="9"/>
      <c r="D372" s="10"/>
      <c r="E372" s="10"/>
    </row>
    <row r="373" spans="1:5">
      <c r="A373" s="9"/>
      <c r="D373" s="10"/>
      <c r="E373" s="10"/>
    </row>
    <row r="374" spans="1:5">
      <c r="A374" s="9"/>
      <c r="D374" s="10"/>
      <c r="E374" s="10"/>
    </row>
    <row r="375" spans="1:5">
      <c r="A375" s="9"/>
      <c r="D375" s="10"/>
      <c r="E375" s="10"/>
    </row>
    <row r="376" spans="1:5">
      <c r="A376" s="9"/>
      <c r="D376" s="10"/>
      <c r="E376" s="10"/>
    </row>
    <row r="377" spans="1:5">
      <c r="A377" s="9"/>
      <c r="D377" s="10"/>
      <c r="E377" s="10"/>
    </row>
    <row r="378" spans="1:5">
      <c r="A378" s="9"/>
      <c r="D378" s="10"/>
      <c r="E378" s="10"/>
    </row>
    <row r="379" spans="1:5">
      <c r="A379" s="9"/>
      <c r="D379" s="10"/>
      <c r="E379" s="10"/>
    </row>
    <row r="380" spans="1:5">
      <c r="A380" s="9"/>
      <c r="D380" s="10"/>
      <c r="E380" s="10"/>
    </row>
    <row r="381" spans="1:5">
      <c r="A381" s="9"/>
      <c r="D381" s="10"/>
      <c r="E381" s="10"/>
    </row>
    <row r="382" spans="1:5">
      <c r="A382" s="9"/>
      <c r="D382" s="10"/>
      <c r="E382" s="10"/>
    </row>
    <row r="383" spans="1:5">
      <c r="A383" s="9"/>
      <c r="D383" s="10"/>
      <c r="E383" s="10"/>
    </row>
    <row r="384" spans="1:5">
      <c r="A384" s="9"/>
      <c r="D384" s="10"/>
      <c r="E384" s="10"/>
    </row>
    <row r="385" spans="1:5">
      <c r="A385" s="9"/>
      <c r="D385" s="10"/>
      <c r="E385" s="10"/>
    </row>
    <row r="386" spans="1:5">
      <c r="A386" s="9"/>
      <c r="D386" s="10"/>
      <c r="E386" s="10"/>
    </row>
    <row r="387" spans="1:5">
      <c r="A387" s="9"/>
      <c r="D387" s="10"/>
      <c r="E387" s="10"/>
    </row>
    <row r="388" spans="1:5">
      <c r="A388" s="9"/>
      <c r="D388" s="10"/>
      <c r="E388" s="10"/>
    </row>
    <row r="389" spans="1:5">
      <c r="A389" s="9"/>
      <c r="D389" s="10"/>
      <c r="E389" s="10"/>
    </row>
    <row r="390" spans="1:5">
      <c r="A390" s="9"/>
      <c r="D390" s="10"/>
      <c r="E390" s="10"/>
    </row>
    <row r="391" spans="1:5">
      <c r="A391" s="9"/>
      <c r="D391" s="10"/>
      <c r="E391" s="10"/>
    </row>
    <row r="392" spans="1:5">
      <c r="A392" s="9"/>
      <c r="D392" s="10"/>
      <c r="E392" s="10"/>
    </row>
    <row r="393" spans="1:5">
      <c r="A393" s="9"/>
      <c r="D393" s="10"/>
      <c r="E393" s="10"/>
    </row>
    <row r="394" spans="1:5">
      <c r="A394" s="9"/>
      <c r="D394" s="10"/>
      <c r="E394" s="10"/>
    </row>
    <row r="395" spans="1:5">
      <c r="A395" s="9"/>
      <c r="D395" s="10"/>
      <c r="E395" s="10"/>
    </row>
    <row r="396" spans="1:5">
      <c r="A396" s="9"/>
      <c r="D396" s="10"/>
      <c r="E396" s="10"/>
    </row>
    <row r="397" spans="1:5">
      <c r="A397" s="9"/>
      <c r="D397" s="10"/>
      <c r="E397" s="10"/>
    </row>
    <row r="398" spans="1:5">
      <c r="A398" s="9"/>
      <c r="D398" s="10"/>
      <c r="E398" s="10"/>
    </row>
    <row r="399" spans="1:5">
      <c r="A399" s="9"/>
      <c r="D399" s="10"/>
      <c r="E399" s="10"/>
    </row>
    <row r="400" spans="1:5">
      <c r="A400" s="9"/>
      <c r="D400" s="10"/>
      <c r="E400" s="10"/>
    </row>
    <row r="401" spans="1:5">
      <c r="A401" s="9"/>
      <c r="D401" s="10"/>
      <c r="E401" s="10"/>
    </row>
    <row r="402" spans="1:5">
      <c r="A402" s="9"/>
      <c r="D402" s="10"/>
      <c r="E402" s="10"/>
    </row>
    <row r="403" spans="1:5">
      <c r="A403" s="9"/>
      <c r="D403" s="10"/>
      <c r="E403" s="10"/>
    </row>
    <row r="404" spans="1:5">
      <c r="A404" s="9"/>
      <c r="D404" s="10"/>
      <c r="E404" s="10"/>
    </row>
    <row r="405" spans="1:5">
      <c r="A405" s="9"/>
      <c r="D405" s="10"/>
      <c r="E405" s="10"/>
    </row>
    <row r="406" spans="1:5">
      <c r="A406" s="9"/>
      <c r="D406" s="10"/>
      <c r="E406" s="10"/>
    </row>
    <row r="407" spans="1:5">
      <c r="A407" s="9"/>
      <c r="D407" s="10"/>
      <c r="E407" s="10"/>
    </row>
    <row r="408" spans="1:5">
      <c r="A408" s="9"/>
      <c r="D408" s="10"/>
      <c r="E408" s="10"/>
    </row>
    <row r="409" spans="1:5">
      <c r="A409" s="9"/>
      <c r="D409" s="10"/>
      <c r="E409" s="10"/>
    </row>
    <row r="410" spans="1:5">
      <c r="A410" s="9"/>
      <c r="D410" s="10"/>
      <c r="E410" s="10"/>
    </row>
    <row r="411" spans="1:5">
      <c r="A411" s="9"/>
      <c r="D411" s="10"/>
      <c r="E411" s="10"/>
    </row>
    <row r="412" spans="1:5">
      <c r="A412" s="9"/>
      <c r="D412" s="10"/>
      <c r="E412" s="10"/>
    </row>
    <row r="413" spans="1:5">
      <c r="A413" s="9"/>
      <c r="D413" s="10"/>
      <c r="E413" s="10"/>
    </row>
    <row r="414" spans="1:5">
      <c r="A414" s="9"/>
      <c r="D414" s="10"/>
      <c r="E414" s="10"/>
    </row>
    <row r="415" spans="1:5">
      <c r="A415" s="9"/>
      <c r="D415" s="10"/>
      <c r="E415" s="10"/>
    </row>
    <row r="416" spans="1:5">
      <c r="A416" s="9"/>
      <c r="D416" s="10"/>
      <c r="E416" s="10"/>
    </row>
    <row r="417" spans="1:5">
      <c r="A417" s="9"/>
      <c r="D417" s="10"/>
      <c r="E417" s="10"/>
    </row>
    <row r="418" spans="1:5">
      <c r="A418" s="9"/>
      <c r="D418" s="10"/>
      <c r="E418" s="10"/>
    </row>
    <row r="419" spans="1:5">
      <c r="A419" s="9"/>
      <c r="D419" s="10"/>
      <c r="E419" s="10"/>
    </row>
    <row r="420" spans="1:5">
      <c r="A420" s="9"/>
      <c r="D420" s="10"/>
      <c r="E420" s="10"/>
    </row>
    <row r="421" spans="1:5">
      <c r="A421" s="9"/>
      <c r="D421" s="10"/>
      <c r="E421" s="10"/>
    </row>
    <row r="422" spans="1:5">
      <c r="A422" s="9"/>
      <c r="D422" s="10"/>
      <c r="E422" s="10"/>
    </row>
    <row r="423" spans="1:5">
      <c r="A423" s="9"/>
      <c r="D423" s="10"/>
      <c r="E423" s="10"/>
    </row>
    <row r="424" spans="1:5">
      <c r="A424" s="9"/>
      <c r="D424" s="10"/>
      <c r="E424" s="10"/>
    </row>
    <row r="425" spans="1:5">
      <c r="A425" s="9"/>
      <c r="D425" s="10"/>
      <c r="E425" s="10"/>
    </row>
    <row r="426" spans="1:5">
      <c r="A426" s="9"/>
      <c r="D426" s="10"/>
      <c r="E426" s="10"/>
    </row>
    <row r="427" spans="1:5">
      <c r="A427" s="9"/>
      <c r="D427" s="10"/>
      <c r="E427" s="10"/>
    </row>
    <row r="428" spans="1:5">
      <c r="A428" s="9"/>
      <c r="D428" s="10"/>
      <c r="E428" s="10"/>
    </row>
    <row r="429" spans="1:5">
      <c r="A429" s="9"/>
      <c r="D429" s="10"/>
      <c r="E429" s="10"/>
    </row>
    <row r="430" spans="1:5">
      <c r="A430" s="9"/>
      <c r="D430" s="10"/>
      <c r="E430" s="10"/>
    </row>
    <row r="431" spans="1:5">
      <c r="A431" s="9"/>
      <c r="D431" s="10"/>
      <c r="E431" s="10"/>
    </row>
    <row r="432" spans="1:5">
      <c r="A432" s="9"/>
      <c r="D432" s="10"/>
      <c r="E432" s="10"/>
    </row>
    <row r="433" spans="1:5">
      <c r="A433" s="9"/>
      <c r="D433" s="10"/>
      <c r="E433" s="10"/>
    </row>
    <row r="434" spans="1:5">
      <c r="A434" s="9"/>
      <c r="D434" s="10"/>
      <c r="E434" s="10"/>
    </row>
    <row r="435" spans="1:5">
      <c r="A435" s="9"/>
      <c r="D435" s="10"/>
      <c r="E435" s="10"/>
    </row>
    <row r="436" spans="1:5">
      <c r="A436" s="9"/>
      <c r="D436" s="10"/>
      <c r="E436" s="10"/>
    </row>
    <row r="437" spans="1:5">
      <c r="A437" s="9"/>
      <c r="D437" s="10"/>
      <c r="E437" s="10"/>
    </row>
    <row r="438" spans="1:5">
      <c r="A438" s="9"/>
      <c r="D438" s="10"/>
      <c r="E438" s="10"/>
    </row>
    <row r="439" spans="1:5">
      <c r="A439" s="9"/>
      <c r="D439" s="10"/>
      <c r="E439" s="10"/>
    </row>
    <row r="440" spans="1:5">
      <c r="A440" s="9"/>
      <c r="D440" s="10"/>
      <c r="E440" s="10"/>
    </row>
    <row r="441" spans="1:5">
      <c r="A441" s="9"/>
      <c r="D441" s="10"/>
      <c r="E441" s="10"/>
    </row>
    <row r="442" spans="1:5">
      <c r="A442" s="9"/>
      <c r="D442" s="10"/>
      <c r="E442" s="10"/>
    </row>
    <row r="443" spans="1:5">
      <c r="A443" s="9"/>
      <c r="D443" s="10"/>
      <c r="E443" s="10"/>
    </row>
    <row r="444" spans="1:5">
      <c r="A444" s="9"/>
      <c r="D444" s="10"/>
      <c r="E444" s="10"/>
    </row>
    <row r="445" spans="1:5">
      <c r="A445" s="9"/>
      <c r="D445" s="10"/>
      <c r="E445" s="10"/>
    </row>
    <row r="446" spans="1:5">
      <c r="A446" s="9"/>
      <c r="D446" s="10"/>
      <c r="E446" s="10"/>
    </row>
    <row r="447" spans="1:5">
      <c r="A447" s="9"/>
      <c r="D447" s="10"/>
      <c r="E447" s="10"/>
    </row>
    <row r="448" spans="1:5">
      <c r="A448" s="9"/>
      <c r="D448" s="10"/>
      <c r="E448" s="10"/>
    </row>
    <row r="449" spans="1:5">
      <c r="A449" s="9"/>
      <c r="D449" s="10"/>
      <c r="E449" s="10"/>
    </row>
    <row r="450" spans="1:5">
      <c r="A450" s="9"/>
      <c r="D450" s="10"/>
      <c r="E450" s="10"/>
    </row>
    <row r="451" spans="1:5">
      <c r="A451" s="9"/>
      <c r="D451" s="10"/>
      <c r="E451" s="10"/>
    </row>
    <row r="452" spans="1:5">
      <c r="A452" s="9"/>
      <c r="D452" s="10"/>
      <c r="E452" s="10"/>
    </row>
    <row r="453" spans="1:5">
      <c r="A453" s="9"/>
      <c r="D453" s="10"/>
      <c r="E453" s="10"/>
    </row>
    <row r="454" spans="1:5">
      <c r="A454" s="9"/>
      <c r="D454" s="10"/>
      <c r="E454" s="10"/>
    </row>
    <row r="455" spans="1:5">
      <c r="A455" s="9"/>
      <c r="D455" s="10"/>
      <c r="E455" s="10"/>
    </row>
    <row r="456" spans="1:5">
      <c r="A456" s="9"/>
      <c r="D456" s="10"/>
      <c r="E456" s="10"/>
    </row>
    <row r="457" spans="1:5">
      <c r="A457" s="9"/>
      <c r="D457" s="10"/>
      <c r="E457" s="10"/>
    </row>
    <row r="458" spans="1:5">
      <c r="A458" s="9"/>
      <c r="D458" s="10"/>
      <c r="E458" s="10"/>
    </row>
    <row r="459" spans="1:5">
      <c r="A459" s="9"/>
      <c r="D459" s="10"/>
      <c r="E459" s="10"/>
    </row>
    <row r="460" spans="1:5">
      <c r="A460" s="9"/>
      <c r="D460" s="10"/>
      <c r="E460" s="10"/>
    </row>
    <row r="461" spans="1:5">
      <c r="A461" s="9"/>
      <c r="D461" s="10"/>
      <c r="E461" s="10"/>
    </row>
    <row r="462" spans="1:5">
      <c r="A462" s="9"/>
      <c r="D462" s="10"/>
      <c r="E462" s="10"/>
    </row>
    <row r="463" spans="1:5">
      <c r="A463" s="9"/>
      <c r="D463" s="10"/>
      <c r="E463" s="10"/>
    </row>
    <row r="464" spans="1:5">
      <c r="A464" s="9"/>
      <c r="D464" s="10"/>
      <c r="E464" s="10"/>
    </row>
    <row r="465" spans="1:5">
      <c r="A465" s="9"/>
      <c r="D465" s="10"/>
      <c r="E465" s="10"/>
    </row>
    <row r="466" spans="1:5">
      <c r="A466" s="9"/>
      <c r="D466" s="10"/>
      <c r="E466" s="10"/>
    </row>
    <row r="467" spans="1:5">
      <c r="A467" s="9"/>
      <c r="D467" s="10"/>
      <c r="E467" s="10"/>
    </row>
    <row r="468" spans="1:5">
      <c r="A468" s="9"/>
      <c r="D468" s="10"/>
      <c r="E468" s="10"/>
    </row>
    <row r="469" spans="1:5">
      <c r="A469" s="9"/>
      <c r="D469" s="10"/>
      <c r="E469" s="10"/>
    </row>
    <row r="470" spans="1:5">
      <c r="A470" s="9"/>
      <c r="D470" s="10"/>
      <c r="E470" s="10"/>
    </row>
    <row r="471" spans="1:5">
      <c r="A471" s="9"/>
      <c r="D471" s="10"/>
      <c r="E471" s="10"/>
    </row>
    <row r="472" spans="1:5">
      <c r="A472" s="9"/>
      <c r="D472" s="10"/>
      <c r="E472" s="10"/>
    </row>
    <row r="473" spans="1:5">
      <c r="A473" s="9"/>
      <c r="D473" s="10"/>
      <c r="E473" s="10"/>
    </row>
    <row r="474" spans="1:5">
      <c r="A474" s="9"/>
      <c r="D474" s="10"/>
      <c r="E474" s="10"/>
    </row>
    <row r="475" spans="1:5">
      <c r="A475" s="9"/>
      <c r="D475" s="10"/>
      <c r="E475" s="10"/>
    </row>
    <row r="476" spans="1:5">
      <c r="A476" s="9"/>
      <c r="D476" s="10"/>
      <c r="E476" s="10"/>
    </row>
    <row r="477" spans="1:5">
      <c r="A477" s="9"/>
      <c r="D477" s="10"/>
      <c r="E477" s="10"/>
    </row>
    <row r="478" spans="1:5">
      <c r="A478" s="9"/>
      <c r="D478" s="10"/>
      <c r="E478" s="10"/>
    </row>
    <row r="479" spans="1:5">
      <c r="A479" s="9"/>
      <c r="D479" s="10"/>
      <c r="E479" s="10"/>
    </row>
    <row r="480" spans="1:5">
      <c r="A480" s="9"/>
      <c r="D480" s="10"/>
      <c r="E480" s="10"/>
    </row>
    <row r="481" spans="1:5">
      <c r="A481" s="9"/>
      <c r="D481" s="10"/>
      <c r="E481" s="10"/>
    </row>
    <row r="482" spans="1:5">
      <c r="A482" s="9"/>
      <c r="D482" s="10"/>
      <c r="E482" s="10"/>
    </row>
    <row r="483" spans="1:5">
      <c r="A483" s="9"/>
      <c r="D483" s="10"/>
      <c r="E483" s="10"/>
    </row>
    <row r="484" spans="1:5">
      <c r="A484" s="9"/>
      <c r="D484" s="10"/>
      <c r="E484" s="10"/>
    </row>
    <row r="485" spans="1:5">
      <c r="A485" s="9"/>
      <c r="D485" s="10"/>
      <c r="E485" s="10"/>
    </row>
    <row r="486" spans="1:5">
      <c r="A486" s="9"/>
      <c r="D486" s="10"/>
      <c r="E486" s="10"/>
    </row>
    <row r="487" spans="1:5">
      <c r="A487" s="9"/>
      <c r="D487" s="10"/>
      <c r="E487" s="10"/>
    </row>
    <row r="488" spans="1:5">
      <c r="A488" s="9"/>
      <c r="D488" s="10"/>
      <c r="E488" s="10"/>
    </row>
    <row r="489" spans="1:5">
      <c r="A489" s="9"/>
      <c r="D489" s="10"/>
      <c r="E489" s="10"/>
    </row>
    <row r="490" spans="1:5">
      <c r="A490" s="9"/>
      <c r="D490" s="10"/>
      <c r="E490" s="10"/>
    </row>
    <row r="491" spans="1:5">
      <c r="A491" s="9"/>
      <c r="D491" s="10"/>
      <c r="E491" s="10"/>
    </row>
    <row r="492" spans="1:5">
      <c r="A492" s="9"/>
      <c r="D492" s="10"/>
      <c r="E492" s="10"/>
    </row>
    <row r="493" spans="1:5">
      <c r="A493" s="9"/>
      <c r="D493" s="10"/>
      <c r="E493" s="10"/>
    </row>
    <row r="494" spans="1:5">
      <c r="A494" s="9"/>
      <c r="D494" s="10"/>
      <c r="E494" s="10"/>
    </row>
    <row r="495" spans="1:5">
      <c r="A495" s="9"/>
      <c r="D495" s="10"/>
      <c r="E495" s="10"/>
    </row>
    <row r="496" spans="1:5">
      <c r="A496" s="9"/>
      <c r="D496" s="10"/>
      <c r="E496" s="10"/>
    </row>
    <row r="497" spans="1:5">
      <c r="A497" s="9"/>
      <c r="D497" s="10"/>
      <c r="E497" s="10"/>
    </row>
    <row r="498" spans="1:5">
      <c r="A498" s="9"/>
      <c r="D498" s="10"/>
      <c r="E498" s="10"/>
    </row>
    <row r="499" spans="1:5">
      <c r="A499" s="9"/>
      <c r="D499" s="10"/>
      <c r="E499" s="10"/>
    </row>
    <row r="500" spans="1:5">
      <c r="A500" s="9"/>
      <c r="D500" s="10"/>
      <c r="E500" s="10"/>
    </row>
    <row r="501" spans="1:5">
      <c r="A501" s="9"/>
      <c r="D501" s="10"/>
      <c r="E501" s="10"/>
    </row>
    <row r="502" spans="1:5">
      <c r="A502" s="9"/>
      <c r="D502" s="10"/>
      <c r="E502" s="10"/>
    </row>
    <row r="503" spans="1:5">
      <c r="A503" s="9"/>
      <c r="D503" s="10"/>
      <c r="E503" s="10"/>
    </row>
    <row r="504" spans="1:5">
      <c r="A504" s="9"/>
      <c r="D504" s="10"/>
      <c r="E504" s="10"/>
    </row>
    <row r="505" spans="1:5">
      <c r="A505" s="9"/>
      <c r="D505" s="10"/>
      <c r="E505" s="10"/>
    </row>
    <row r="506" spans="1:5">
      <c r="A506" s="9"/>
      <c r="D506" s="10"/>
      <c r="E506" s="10"/>
    </row>
    <row r="507" spans="1:5">
      <c r="A507" s="9"/>
      <c r="D507" s="10"/>
      <c r="E507" s="10"/>
    </row>
    <row r="508" spans="1:5">
      <c r="A508" s="9"/>
      <c r="D508" s="10"/>
      <c r="E508" s="10"/>
    </row>
    <row r="509" spans="1:5">
      <c r="A509" s="9"/>
      <c r="D509" s="10"/>
      <c r="E509" s="10"/>
    </row>
    <row r="510" spans="1:5">
      <c r="A510" s="9"/>
      <c r="D510" s="10"/>
      <c r="E510" s="10"/>
    </row>
    <row r="511" spans="1:5">
      <c r="A511" s="9"/>
      <c r="D511" s="10"/>
      <c r="E511" s="10"/>
    </row>
    <row r="512" spans="1:5">
      <c r="A512" s="9"/>
      <c r="D512" s="10"/>
      <c r="E512" s="10"/>
    </row>
    <row r="513" spans="1:5">
      <c r="A513" s="9"/>
      <c r="D513" s="10"/>
      <c r="E513" s="10"/>
    </row>
    <row r="514" spans="1:5">
      <c r="A514" s="9"/>
      <c r="D514" s="10"/>
      <c r="E514" s="10"/>
    </row>
    <row r="515" spans="1:5">
      <c r="A515" s="9"/>
      <c r="D515" s="10"/>
      <c r="E515" s="10"/>
    </row>
    <row r="516" spans="1:5">
      <c r="A516" s="9"/>
      <c r="D516" s="10"/>
      <c r="E516" s="10"/>
    </row>
    <row r="517" spans="1:5">
      <c r="A517" s="9"/>
      <c r="D517" s="10"/>
      <c r="E517" s="10"/>
    </row>
    <row r="518" spans="1:5">
      <c r="A518" s="9"/>
      <c r="D518" s="10"/>
      <c r="E518" s="10"/>
    </row>
    <row r="519" spans="1:5">
      <c r="A519" s="9"/>
      <c r="D519" s="10"/>
      <c r="E519" s="10"/>
    </row>
    <row r="520" spans="1:5">
      <c r="A520" s="9"/>
      <c r="D520" s="10"/>
      <c r="E520" s="10"/>
    </row>
    <row r="521" spans="1:5">
      <c r="A521" s="9"/>
      <c r="D521" s="10"/>
      <c r="E521" s="10"/>
    </row>
    <row r="522" spans="1:5">
      <c r="A522" s="9"/>
      <c r="D522" s="10"/>
      <c r="E522" s="10"/>
    </row>
    <row r="523" spans="1:5">
      <c r="A523" s="9"/>
      <c r="D523" s="10"/>
      <c r="E523" s="10"/>
    </row>
    <row r="524" spans="1:5">
      <c r="A524" s="9"/>
      <c r="D524" s="10"/>
      <c r="E524" s="10"/>
    </row>
    <row r="525" spans="1:5">
      <c r="A525" s="9"/>
      <c r="D525" s="10"/>
      <c r="E525" s="10"/>
    </row>
    <row r="526" spans="1:5">
      <c r="A526" s="9"/>
      <c r="D526" s="10"/>
      <c r="E526" s="10"/>
    </row>
    <row r="527" spans="1:5">
      <c r="A527" s="9"/>
      <c r="D527" s="10"/>
      <c r="E527" s="10"/>
    </row>
    <row r="528" spans="1:5">
      <c r="A528" s="9"/>
      <c r="D528" s="10"/>
      <c r="E528" s="10"/>
    </row>
    <row r="529" spans="1:5">
      <c r="A529" s="9"/>
      <c r="D529" s="10"/>
      <c r="E529" s="10"/>
    </row>
    <row r="530" spans="1:5">
      <c r="A530" s="9"/>
      <c r="D530" s="10"/>
      <c r="E530" s="10"/>
    </row>
    <row r="531" spans="1:5">
      <c r="A531" s="9"/>
      <c r="D531" s="10"/>
      <c r="E531" s="10"/>
    </row>
    <row r="532" spans="1:5">
      <c r="A532" s="9"/>
      <c r="D532" s="10"/>
      <c r="E532" s="10"/>
    </row>
    <row r="533" spans="1:5">
      <c r="A533" s="9"/>
      <c r="D533" s="10"/>
      <c r="E533" s="10"/>
    </row>
    <row r="534" spans="1:5">
      <c r="A534" s="9"/>
      <c r="D534" s="10"/>
      <c r="E534" s="10"/>
    </row>
    <row r="535" spans="1:5">
      <c r="A535" s="9"/>
      <c r="D535" s="10"/>
      <c r="E535" s="10"/>
    </row>
    <row r="536" spans="1:5">
      <c r="A536" s="9"/>
      <c r="D536" s="10"/>
      <c r="E536" s="10"/>
    </row>
    <row r="537" spans="1:5">
      <c r="A537" s="9"/>
      <c r="D537" s="10"/>
      <c r="E537" s="10"/>
    </row>
    <row r="538" spans="1:5">
      <c r="A538" s="9"/>
      <c r="D538" s="10"/>
      <c r="E538" s="10"/>
    </row>
    <row r="539" spans="1:5">
      <c r="A539" s="9"/>
      <c r="D539" s="10"/>
      <c r="E539" s="10"/>
    </row>
    <row r="540" spans="1:5">
      <c r="A540" s="9"/>
      <c r="D540" s="10"/>
      <c r="E540" s="10"/>
    </row>
    <row r="541" spans="1:5">
      <c r="A541" s="9"/>
      <c r="D541" s="10"/>
      <c r="E541" s="10"/>
    </row>
    <row r="542" spans="1:5">
      <c r="A542" s="9"/>
      <c r="D542" s="10"/>
      <c r="E542" s="10"/>
    </row>
    <row r="543" spans="1:5">
      <c r="A543" s="9"/>
      <c r="D543" s="10"/>
      <c r="E543" s="10"/>
    </row>
    <row r="544" spans="1:5">
      <c r="A544" s="9"/>
      <c r="D544" s="10"/>
      <c r="E544" s="10"/>
    </row>
    <row r="545" spans="1:5">
      <c r="A545" s="9"/>
      <c r="D545" s="10"/>
      <c r="E545" s="10"/>
    </row>
    <row r="546" spans="1:5">
      <c r="A546" s="9"/>
      <c r="D546" s="10"/>
      <c r="E546" s="10"/>
    </row>
    <row r="547" spans="1:5">
      <c r="A547" s="9"/>
      <c r="D547" s="10"/>
      <c r="E547" s="10"/>
    </row>
    <row r="548" spans="1:5">
      <c r="A548" s="9"/>
      <c r="D548" s="10"/>
      <c r="E548" s="10"/>
    </row>
    <row r="549" spans="1:5">
      <c r="A549" s="9"/>
      <c r="D549" s="10"/>
      <c r="E549" s="10"/>
    </row>
    <row r="550" spans="1:5">
      <c r="A550" s="9"/>
      <c r="D550" s="10"/>
      <c r="E550" s="10"/>
    </row>
    <row r="551" spans="1:5">
      <c r="A551" s="9"/>
      <c r="D551" s="10"/>
      <c r="E551" s="10"/>
    </row>
    <row r="552" spans="1:5">
      <c r="A552" s="9"/>
      <c r="D552" s="10"/>
      <c r="E552" s="10"/>
    </row>
    <row r="553" spans="1:5">
      <c r="A553" s="9"/>
      <c r="D553" s="10"/>
      <c r="E553" s="10"/>
    </row>
    <row r="554" spans="1:5">
      <c r="A554" s="9"/>
      <c r="D554" s="10"/>
      <c r="E554" s="10"/>
    </row>
    <row r="555" spans="1:5">
      <c r="A555" s="9"/>
      <c r="D555" s="10"/>
      <c r="E555" s="10"/>
    </row>
    <row r="556" spans="1:5">
      <c r="A556" s="9"/>
      <c r="D556" s="10"/>
      <c r="E556" s="10"/>
    </row>
    <row r="557" spans="1:5">
      <c r="A557" s="9"/>
      <c r="D557" s="10"/>
      <c r="E557" s="10"/>
    </row>
    <row r="558" spans="1:5">
      <c r="A558" s="9"/>
      <c r="D558" s="10"/>
      <c r="E558" s="10"/>
    </row>
    <row r="559" spans="1:5">
      <c r="A559" s="9"/>
      <c r="D559" s="10"/>
      <c r="E559" s="10"/>
    </row>
    <row r="560" spans="1:5">
      <c r="A560" s="9"/>
      <c r="D560" s="10"/>
      <c r="E560" s="10"/>
    </row>
    <row r="561" spans="1:5">
      <c r="A561" s="9"/>
      <c r="D561" s="10"/>
      <c r="E561" s="10"/>
    </row>
    <row r="562" spans="1:5">
      <c r="A562" s="9"/>
      <c r="D562" s="10"/>
      <c r="E562" s="10"/>
    </row>
    <row r="563" spans="1:5">
      <c r="A563" s="9"/>
      <c r="D563" s="10"/>
      <c r="E563" s="10"/>
    </row>
    <row r="564" spans="1:5">
      <c r="A564" s="9"/>
      <c r="D564" s="10"/>
      <c r="E564" s="10"/>
    </row>
    <row r="565" spans="1:5">
      <c r="A565" s="9"/>
      <c r="D565" s="10"/>
      <c r="E565" s="10"/>
    </row>
    <row r="566" spans="1:5">
      <c r="A566" s="9"/>
      <c r="D566" s="10"/>
      <c r="E566" s="10"/>
    </row>
    <row r="567" spans="1:5">
      <c r="A567" s="9"/>
      <c r="D567" s="10"/>
      <c r="E567" s="10"/>
    </row>
    <row r="568" spans="1:5">
      <c r="A568" s="9"/>
      <c r="D568" s="10"/>
      <c r="E568" s="10"/>
    </row>
    <row r="569" spans="1:5">
      <c r="A569" s="9"/>
      <c r="D569" s="10"/>
      <c r="E569" s="10"/>
    </row>
    <row r="570" spans="1:5">
      <c r="A570" s="9"/>
      <c r="D570" s="10"/>
      <c r="E570" s="10"/>
    </row>
    <row r="571" spans="1:5">
      <c r="A571" s="9"/>
      <c r="D571" s="10"/>
      <c r="E571" s="10"/>
    </row>
    <row r="572" spans="1:5">
      <c r="A572" s="9"/>
      <c r="D572" s="10"/>
      <c r="E572" s="10"/>
    </row>
    <row r="573" spans="1:5">
      <c r="A573" s="9"/>
      <c r="D573" s="10"/>
      <c r="E573" s="10"/>
    </row>
    <row r="574" spans="1:5">
      <c r="A574" s="9"/>
      <c r="D574" s="10"/>
      <c r="E574" s="10"/>
    </row>
    <row r="575" spans="1:5">
      <c r="A575" s="9"/>
      <c r="D575" s="10"/>
      <c r="E575" s="10"/>
    </row>
    <row r="576" spans="1:5">
      <c r="A576" s="9"/>
      <c r="D576" s="10"/>
      <c r="E576" s="10"/>
    </row>
    <row r="577" spans="1:5">
      <c r="A577" s="9"/>
      <c r="D577" s="10"/>
      <c r="E577" s="10"/>
    </row>
    <row r="578" spans="1:5">
      <c r="A578" s="9"/>
      <c r="D578" s="10"/>
      <c r="E578" s="10"/>
    </row>
    <row r="579" spans="1:5">
      <c r="A579" s="9"/>
      <c r="D579" s="10"/>
      <c r="E579" s="10"/>
    </row>
    <row r="580" spans="1:5">
      <c r="A580" s="9"/>
      <c r="D580" s="10"/>
      <c r="E580" s="10"/>
    </row>
    <row r="581" spans="1:5">
      <c r="A581" s="9"/>
      <c r="D581" s="10"/>
      <c r="E581" s="10"/>
    </row>
    <row r="582" spans="1:5">
      <c r="A582" s="9"/>
      <c r="D582" s="10"/>
      <c r="E582" s="10"/>
    </row>
    <row r="583" spans="1:5">
      <c r="A583" s="9"/>
      <c r="D583" s="10"/>
      <c r="E583" s="10"/>
    </row>
    <row r="584" spans="1:5">
      <c r="A584" s="9"/>
      <c r="D584" s="10"/>
      <c r="E584" s="10"/>
    </row>
    <row r="585" spans="1:5">
      <c r="A585" s="9"/>
      <c r="D585" s="10"/>
      <c r="E585" s="10"/>
    </row>
    <row r="586" spans="1:5">
      <c r="A586" s="9"/>
      <c r="D586" s="10"/>
      <c r="E586" s="10"/>
    </row>
    <row r="587" spans="1:5">
      <c r="A587" s="9"/>
      <c r="D587" s="10"/>
      <c r="E587" s="10"/>
    </row>
    <row r="588" spans="1:5">
      <c r="A588" s="9"/>
      <c r="D588" s="10"/>
      <c r="E588" s="10"/>
    </row>
    <row r="589" spans="1:5">
      <c r="A589" s="9"/>
      <c r="D589" s="10"/>
      <c r="E589" s="10"/>
    </row>
    <row r="590" spans="1:5">
      <c r="A590" s="9"/>
      <c r="D590" s="10"/>
      <c r="E590" s="10"/>
    </row>
    <row r="591" spans="1:5">
      <c r="A591" s="9"/>
      <c r="D591" s="10"/>
      <c r="E591" s="10"/>
    </row>
    <row r="592" spans="1:5">
      <c r="A592" s="9"/>
      <c r="D592" s="10"/>
      <c r="E592" s="10"/>
    </row>
    <row r="593" spans="1:5">
      <c r="A593" s="9"/>
      <c r="D593" s="10"/>
      <c r="E593" s="10"/>
    </row>
    <row r="594" spans="1:5">
      <c r="A594" s="9"/>
      <c r="D594" s="10"/>
      <c r="E594" s="10"/>
    </row>
    <row r="595" spans="1:5">
      <c r="A595" s="9"/>
      <c r="D595" s="10"/>
      <c r="E595" s="10"/>
    </row>
    <row r="596" spans="1:5">
      <c r="A596" s="9"/>
      <c r="D596" s="10"/>
      <c r="E596" s="10"/>
    </row>
    <row r="597" spans="1:5">
      <c r="A597" s="9"/>
      <c r="D597" s="10"/>
      <c r="E597" s="10"/>
    </row>
    <row r="598" spans="1:5">
      <c r="A598" s="9"/>
      <c r="D598" s="10"/>
      <c r="E598" s="10"/>
    </row>
    <row r="599" spans="1:5">
      <c r="A599" s="9"/>
      <c r="D599" s="10"/>
      <c r="E599" s="10"/>
    </row>
    <row r="600" spans="1:5">
      <c r="A600" s="9"/>
      <c r="D600" s="10"/>
      <c r="E600" s="10"/>
    </row>
    <row r="601" spans="1:5">
      <c r="A601" s="9"/>
      <c r="D601" s="10"/>
      <c r="E601" s="10"/>
    </row>
    <row r="602" spans="1:5">
      <c r="A602" s="9"/>
      <c r="D602" s="10"/>
      <c r="E602" s="10"/>
    </row>
    <row r="603" spans="1:5">
      <c r="A603" s="9"/>
      <c r="D603" s="10"/>
      <c r="E603" s="10"/>
    </row>
    <row r="604" spans="1:5">
      <c r="A604" s="9"/>
      <c r="D604" s="10"/>
      <c r="E604" s="10"/>
    </row>
    <row r="605" spans="1:5">
      <c r="A605" s="9"/>
      <c r="D605" s="10"/>
      <c r="E605" s="10"/>
    </row>
    <row r="606" spans="1:5">
      <c r="A606" s="9"/>
      <c r="D606" s="10"/>
      <c r="E606" s="10"/>
    </row>
    <row r="607" spans="1:5">
      <c r="A607" s="9"/>
      <c r="D607" s="10"/>
      <c r="E607" s="10"/>
    </row>
    <row r="608" spans="1:5">
      <c r="A608" s="9"/>
      <c r="D608" s="10"/>
      <c r="E608" s="10"/>
    </row>
    <row r="609" spans="1:5">
      <c r="A609" s="9"/>
      <c r="D609" s="10"/>
      <c r="E609" s="10"/>
    </row>
    <row r="610" spans="1:5">
      <c r="A610" s="9"/>
      <c r="D610" s="10"/>
      <c r="E610" s="10"/>
    </row>
    <row r="611" spans="1:5">
      <c r="A611" s="9"/>
      <c r="D611" s="10"/>
      <c r="E611" s="10"/>
    </row>
    <row r="612" spans="1:5">
      <c r="A612" s="9"/>
      <c r="D612" s="10"/>
      <c r="E612" s="10"/>
    </row>
    <row r="613" spans="1:5">
      <c r="A613" s="9"/>
      <c r="D613" s="10"/>
      <c r="E613" s="10"/>
    </row>
    <row r="614" spans="1:5">
      <c r="A614" s="9"/>
      <c r="D614" s="10"/>
      <c r="E614" s="10"/>
    </row>
    <row r="615" spans="1:5">
      <c r="A615" s="9"/>
      <c r="D615" s="10"/>
      <c r="E615" s="10"/>
    </row>
    <row r="616" spans="1:5">
      <c r="A616" s="9"/>
      <c r="D616" s="10"/>
      <c r="E616" s="10"/>
    </row>
    <row r="617" spans="1:5">
      <c r="A617" s="9"/>
      <c r="D617" s="10"/>
      <c r="E617" s="10"/>
    </row>
    <row r="618" spans="1:5">
      <c r="A618" s="9"/>
      <c r="D618" s="10"/>
      <c r="E618" s="10"/>
    </row>
    <row r="619" spans="1:5">
      <c r="A619" s="9"/>
      <c r="D619" s="10"/>
      <c r="E619" s="10"/>
    </row>
    <row r="620" spans="1:5">
      <c r="A620" s="9"/>
      <c r="D620" s="10"/>
      <c r="E620" s="10"/>
    </row>
    <row r="621" spans="1:5">
      <c r="A621" s="9"/>
      <c r="D621" s="10"/>
      <c r="E621" s="10"/>
    </row>
    <row r="622" spans="1:5">
      <c r="A622" s="9"/>
      <c r="D622" s="10"/>
      <c r="E622" s="10"/>
    </row>
    <row r="623" spans="1:5">
      <c r="A623" s="9"/>
      <c r="D623" s="10"/>
      <c r="E623" s="10"/>
    </row>
    <row r="624" spans="1:5">
      <c r="A624" s="9"/>
      <c r="D624" s="10"/>
      <c r="E624" s="10"/>
    </row>
    <row r="625" spans="1:5">
      <c r="A625" s="9"/>
      <c r="D625" s="10"/>
      <c r="E625" s="10"/>
    </row>
    <row r="626" spans="1:5">
      <c r="A626" s="9"/>
      <c r="D626" s="10"/>
      <c r="E626" s="10"/>
    </row>
    <row r="627" spans="1:5">
      <c r="A627" s="9"/>
      <c r="D627" s="10"/>
      <c r="E627" s="10"/>
    </row>
    <row r="628" spans="1:5">
      <c r="A628" s="9"/>
      <c r="D628" s="10"/>
      <c r="E628" s="10"/>
    </row>
    <row r="629" spans="1:5">
      <c r="A629" s="9"/>
      <c r="D629" s="10"/>
      <c r="E629" s="10"/>
    </row>
    <row r="630" spans="1:5">
      <c r="A630" s="9"/>
      <c r="D630" s="10"/>
      <c r="E630" s="10"/>
    </row>
    <row r="631" spans="1:5">
      <c r="A631" s="9"/>
      <c r="D631" s="10"/>
      <c r="E631" s="10"/>
    </row>
    <row r="632" spans="1:5">
      <c r="A632" s="9"/>
      <c r="D632" s="10"/>
      <c r="E632" s="10"/>
    </row>
    <row r="633" spans="1:5">
      <c r="A633" s="9"/>
      <c r="D633" s="10"/>
      <c r="E633" s="10"/>
    </row>
    <row r="634" spans="1:5">
      <c r="A634" s="9"/>
      <c r="D634" s="10"/>
      <c r="E634" s="10"/>
    </row>
    <row r="635" spans="1:5">
      <c r="A635" s="9"/>
      <c r="D635" s="10"/>
      <c r="E635" s="10"/>
    </row>
    <row r="636" spans="1:5">
      <c r="A636" s="9"/>
      <c r="D636" s="10"/>
      <c r="E636" s="10"/>
    </row>
    <row r="637" spans="1:5">
      <c r="A637" s="9"/>
      <c r="D637" s="10"/>
      <c r="E637" s="10"/>
    </row>
    <row r="638" spans="1:5">
      <c r="A638" s="9"/>
      <c r="D638" s="10"/>
      <c r="E638" s="10"/>
    </row>
    <row r="639" spans="1:5">
      <c r="A639" s="9"/>
      <c r="D639" s="10"/>
      <c r="E639" s="10"/>
    </row>
    <row r="640" spans="1:5">
      <c r="A640" s="9"/>
      <c r="D640" s="10"/>
      <c r="E640" s="10"/>
    </row>
    <row r="641" spans="1:5">
      <c r="A641" s="9"/>
      <c r="D641" s="10"/>
      <c r="E641" s="10"/>
    </row>
    <row r="642" spans="1:5">
      <c r="A642" s="9"/>
      <c r="D642" s="10"/>
      <c r="E642" s="10"/>
    </row>
    <row r="643" spans="1:5">
      <c r="A643" s="9"/>
      <c r="D643" s="10"/>
      <c r="E643" s="10"/>
    </row>
    <row r="644" spans="1:5">
      <c r="A644" s="9"/>
      <c r="D644" s="10"/>
      <c r="E644" s="10"/>
    </row>
    <row r="645" spans="1:5">
      <c r="A645" s="9"/>
      <c r="D645" s="10"/>
      <c r="E645" s="10"/>
    </row>
    <row r="646" spans="1:5">
      <c r="A646" s="9"/>
      <c r="D646" s="10"/>
      <c r="E646" s="10"/>
    </row>
    <row r="647" spans="1:5">
      <c r="A647" s="9"/>
      <c r="D647" s="10"/>
      <c r="E647" s="10"/>
    </row>
    <row r="648" spans="1:5">
      <c r="A648" s="9"/>
      <c r="D648" s="10"/>
      <c r="E648" s="10"/>
    </row>
    <row r="649" spans="1:5">
      <c r="A649" s="9"/>
      <c r="D649" s="10"/>
      <c r="E649" s="10"/>
    </row>
    <row r="650" spans="1:5">
      <c r="A650" s="9"/>
      <c r="D650" s="10"/>
      <c r="E650" s="10"/>
    </row>
    <row r="651" spans="1:5">
      <c r="A651" s="9"/>
      <c r="D651" s="10"/>
      <c r="E651" s="10"/>
    </row>
    <row r="652" spans="1:5">
      <c r="A652" s="9"/>
      <c r="D652" s="10"/>
      <c r="E652" s="10"/>
    </row>
    <row r="653" spans="1:5">
      <c r="A653" s="9"/>
      <c r="D653" s="10"/>
      <c r="E653" s="10"/>
    </row>
    <row r="654" spans="1:5">
      <c r="A654" s="9"/>
      <c r="D654" s="10"/>
      <c r="E654" s="10"/>
    </row>
    <row r="655" spans="1:5">
      <c r="A655" s="9"/>
      <c r="D655" s="10"/>
      <c r="E655" s="10"/>
    </row>
    <row r="656" spans="1:5">
      <c r="A656" s="9"/>
      <c r="D656" s="10"/>
      <c r="E656" s="10"/>
    </row>
    <row r="657" spans="1:5">
      <c r="A657" s="9"/>
      <c r="D657" s="10"/>
      <c r="E657" s="10"/>
    </row>
    <row r="658" spans="1:5">
      <c r="A658" s="9"/>
      <c r="D658" s="10"/>
      <c r="E658" s="10"/>
    </row>
    <row r="659" spans="1:5">
      <c r="A659" s="9"/>
      <c r="D659" s="10"/>
      <c r="E659" s="10"/>
    </row>
    <row r="660" spans="1:5">
      <c r="A660" s="9"/>
      <c r="D660" s="10"/>
      <c r="E660" s="10"/>
    </row>
    <row r="661" spans="1:5">
      <c r="A661" s="9"/>
      <c r="D661" s="10"/>
      <c r="E661" s="10"/>
    </row>
    <row r="662" spans="1:5">
      <c r="A662" s="9"/>
      <c r="D662" s="10"/>
      <c r="E662" s="10"/>
    </row>
    <row r="663" spans="1:5">
      <c r="A663" s="9"/>
      <c r="D663" s="10"/>
      <c r="E663" s="10"/>
    </row>
    <row r="664" spans="1:5">
      <c r="A664" s="9"/>
      <c r="D664" s="10"/>
      <c r="E664" s="10"/>
    </row>
    <row r="665" spans="1:5">
      <c r="A665" s="9"/>
      <c r="D665" s="10"/>
      <c r="E665" s="10"/>
    </row>
    <row r="666" spans="1:5">
      <c r="A666" s="9"/>
      <c r="D666" s="10"/>
      <c r="E666" s="10"/>
    </row>
    <row r="667" spans="1:5">
      <c r="A667" s="9"/>
      <c r="D667" s="10"/>
      <c r="E667" s="10"/>
    </row>
    <row r="668" spans="1:5">
      <c r="A668" s="9"/>
      <c r="D668" s="10"/>
      <c r="E668" s="10"/>
    </row>
    <row r="669" spans="1:5">
      <c r="A669" s="9"/>
      <c r="D669" s="10"/>
      <c r="E669" s="10"/>
    </row>
    <row r="670" spans="1:5">
      <c r="A670" s="9"/>
      <c r="D670" s="10"/>
      <c r="E670" s="10"/>
    </row>
    <row r="671" spans="1:5">
      <c r="A671" s="9"/>
      <c r="D671" s="10"/>
      <c r="E671" s="10"/>
    </row>
    <row r="672" spans="1:5">
      <c r="A672" s="9"/>
      <c r="D672" s="10"/>
      <c r="E672" s="10"/>
    </row>
    <row r="673" spans="1:5">
      <c r="A673" s="9"/>
      <c r="D673" s="10"/>
      <c r="E673" s="10"/>
    </row>
    <row r="674" spans="1:5">
      <c r="A674" s="9"/>
      <c r="D674" s="10"/>
      <c r="E674" s="10"/>
    </row>
    <row r="675" spans="1:5">
      <c r="A675" s="9"/>
      <c r="D675" s="10"/>
      <c r="E675" s="10"/>
    </row>
    <row r="676" spans="1:5">
      <c r="A676" s="9"/>
      <c r="D676" s="10"/>
      <c r="E676" s="10"/>
    </row>
    <row r="677" spans="1:5">
      <c r="A677" s="9"/>
      <c r="D677" s="10"/>
      <c r="E677" s="10"/>
    </row>
    <row r="678" spans="1:5">
      <c r="A678" s="9"/>
      <c r="D678" s="10"/>
      <c r="E678" s="10"/>
    </row>
    <row r="679" spans="1:5">
      <c r="A679" s="9"/>
      <c r="D679" s="10"/>
      <c r="E679" s="10"/>
    </row>
    <row r="680" spans="1:5">
      <c r="A680" s="9"/>
      <c r="D680" s="10"/>
      <c r="E680" s="10"/>
    </row>
    <row r="681" spans="1:5">
      <c r="A681" s="9"/>
      <c r="D681" s="10"/>
      <c r="E681" s="10"/>
    </row>
    <row r="682" spans="1:5">
      <c r="A682" s="9"/>
      <c r="D682" s="10"/>
      <c r="E682" s="10"/>
    </row>
    <row r="683" spans="1:5">
      <c r="A683" s="9"/>
      <c r="D683" s="10"/>
      <c r="E683" s="10"/>
    </row>
    <row r="684" spans="1:5">
      <c r="A684" s="9"/>
      <c r="D684" s="10"/>
      <c r="E684" s="10"/>
    </row>
    <row r="685" spans="1:5">
      <c r="A685" s="9"/>
      <c r="D685" s="10"/>
      <c r="E685" s="10"/>
    </row>
    <row r="686" spans="1:5">
      <c r="A686" s="9"/>
      <c r="D686" s="10"/>
      <c r="E686" s="10"/>
    </row>
    <row r="687" spans="1:5">
      <c r="A687" s="9"/>
      <c r="D687" s="10"/>
      <c r="E687" s="10"/>
    </row>
    <row r="688" spans="1:5">
      <c r="A688" s="9"/>
      <c r="D688" s="10"/>
      <c r="E688" s="10"/>
    </row>
    <row r="689" spans="1:5">
      <c r="A689" s="9"/>
      <c r="D689" s="10"/>
      <c r="E689" s="10"/>
    </row>
    <row r="690" spans="1:5">
      <c r="A690" s="9"/>
      <c r="D690" s="10"/>
      <c r="E690" s="10"/>
    </row>
    <row r="691" spans="1:5">
      <c r="A691" s="9"/>
      <c r="D691" s="10"/>
      <c r="E691" s="10"/>
    </row>
    <row r="692" spans="1:5">
      <c r="A692" s="9"/>
      <c r="D692" s="10"/>
      <c r="E692" s="10"/>
    </row>
    <row r="693" spans="1:5">
      <c r="A693" s="9"/>
      <c r="D693" s="10"/>
      <c r="E693" s="10"/>
    </row>
    <row r="694" spans="1:5">
      <c r="A694" s="9"/>
      <c r="D694" s="10"/>
      <c r="E694" s="10"/>
    </row>
    <row r="695" spans="1:5">
      <c r="A695" s="9"/>
      <c r="D695" s="10"/>
      <c r="E695" s="10"/>
    </row>
    <row r="696" spans="1:5">
      <c r="A696" s="9"/>
      <c r="D696" s="10"/>
      <c r="E696" s="10"/>
    </row>
    <row r="697" spans="1:5">
      <c r="A697" s="9"/>
      <c r="D697" s="10"/>
      <c r="E697" s="10"/>
    </row>
    <row r="698" spans="1:5">
      <c r="A698" s="9"/>
      <c r="D698" s="10"/>
      <c r="E698" s="10"/>
    </row>
    <row r="699" spans="1:5">
      <c r="A699" s="9"/>
      <c r="D699" s="10"/>
      <c r="E699" s="10"/>
    </row>
    <row r="700" spans="1:5">
      <c r="A700" s="9"/>
      <c r="D700" s="10"/>
      <c r="E700" s="10"/>
    </row>
    <row r="701" spans="1:5">
      <c r="A701" s="9"/>
      <c r="D701" s="10"/>
      <c r="E701" s="10"/>
    </row>
    <row r="702" spans="1:5">
      <c r="A702" s="9"/>
      <c r="D702" s="10"/>
      <c r="E702" s="10"/>
    </row>
    <row r="703" spans="1:5">
      <c r="A703" s="9"/>
      <c r="D703" s="10"/>
      <c r="E703" s="10"/>
    </row>
    <row r="704" spans="1:5">
      <c r="A704" s="9"/>
      <c r="D704" s="10"/>
      <c r="E704" s="10"/>
    </row>
    <row r="705" spans="1:5">
      <c r="A705" s="9"/>
      <c r="D705" s="10"/>
      <c r="E705" s="10"/>
    </row>
    <row r="706" spans="1:5">
      <c r="A706" s="9"/>
      <c r="D706" s="10"/>
      <c r="E706" s="10"/>
    </row>
    <row r="707" spans="1:5">
      <c r="A707" s="9"/>
      <c r="D707" s="10"/>
      <c r="E707" s="10"/>
    </row>
    <row r="708" spans="1:5">
      <c r="A708" s="9"/>
      <c r="D708" s="10"/>
      <c r="E708" s="10"/>
    </row>
    <row r="709" spans="1:5">
      <c r="A709" s="9"/>
      <c r="D709" s="10"/>
      <c r="E709" s="10"/>
    </row>
    <row r="710" spans="1:5">
      <c r="A710" s="9"/>
      <c r="D710" s="10"/>
      <c r="E710" s="10"/>
    </row>
    <row r="711" spans="1:5">
      <c r="A711" s="9"/>
      <c r="D711" s="10"/>
      <c r="E711" s="10"/>
    </row>
    <row r="712" spans="1:5">
      <c r="A712" s="9"/>
      <c r="D712" s="10"/>
      <c r="E712" s="10"/>
    </row>
    <row r="713" spans="1:5">
      <c r="A713" s="9"/>
      <c r="D713" s="10"/>
      <c r="E713" s="10"/>
    </row>
    <row r="714" spans="1:5">
      <c r="A714" s="9"/>
      <c r="D714" s="10"/>
      <c r="E714" s="10"/>
    </row>
    <row r="715" spans="1:5">
      <c r="A715" s="9"/>
      <c r="D715" s="10"/>
      <c r="E715" s="10"/>
    </row>
    <row r="716" spans="1:5">
      <c r="A716" s="9"/>
      <c r="D716" s="10"/>
      <c r="E716" s="10"/>
    </row>
    <row r="717" spans="1:5">
      <c r="A717" s="9"/>
      <c r="D717" s="10"/>
      <c r="E717" s="10"/>
    </row>
    <row r="718" spans="1:5">
      <c r="A718" s="9"/>
      <c r="D718" s="10"/>
      <c r="E718" s="10"/>
    </row>
    <row r="719" spans="1:5">
      <c r="A719" s="9"/>
      <c r="D719" s="10"/>
      <c r="E719" s="10"/>
    </row>
    <row r="720" spans="1:5">
      <c r="A720" s="9"/>
      <c r="D720" s="10"/>
      <c r="E720" s="10"/>
    </row>
    <row r="721" spans="1:5">
      <c r="A721" s="9"/>
      <c r="D721" s="10"/>
      <c r="E721" s="10"/>
    </row>
    <row r="722" spans="1:5">
      <c r="A722" s="9"/>
      <c r="D722" s="10"/>
      <c r="E722" s="10"/>
    </row>
    <row r="723" spans="1:5">
      <c r="A723" s="9"/>
      <c r="D723" s="10"/>
      <c r="E723" s="10"/>
    </row>
    <row r="724" spans="1:5">
      <c r="A724" s="9"/>
      <c r="D724" s="10"/>
      <c r="E724" s="10"/>
    </row>
    <row r="725" spans="1:5">
      <c r="A725" s="9"/>
      <c r="D725" s="10"/>
      <c r="E725" s="10"/>
    </row>
    <row r="726" spans="1:5">
      <c r="A726" s="9"/>
      <c r="D726" s="10"/>
      <c r="E726" s="10"/>
    </row>
    <row r="727" spans="1:5">
      <c r="A727" s="9"/>
      <c r="D727" s="10"/>
      <c r="E727" s="10"/>
    </row>
    <row r="728" spans="1:5">
      <c r="A728" s="9"/>
      <c r="D728" s="10"/>
      <c r="E728" s="10"/>
    </row>
    <row r="729" spans="1:5">
      <c r="A729" s="9"/>
      <c r="D729" s="10"/>
      <c r="E729" s="10"/>
    </row>
    <row r="730" spans="1:5">
      <c r="A730" s="9"/>
      <c r="D730" s="10"/>
      <c r="E730" s="10"/>
    </row>
    <row r="731" spans="1:5">
      <c r="A731" s="9"/>
      <c r="D731" s="10"/>
      <c r="E731" s="10"/>
    </row>
    <row r="732" spans="1:5">
      <c r="A732" s="9"/>
      <c r="D732" s="10"/>
      <c r="E732" s="10"/>
    </row>
    <row r="733" spans="1:5">
      <c r="A733" s="9"/>
      <c r="D733" s="10"/>
      <c r="E733" s="10"/>
    </row>
    <row r="734" spans="1:5">
      <c r="A734" s="9"/>
      <c r="D734" s="10"/>
      <c r="E734" s="10"/>
    </row>
    <row r="735" spans="1:5">
      <c r="A735" s="9"/>
      <c r="D735" s="10"/>
      <c r="E735" s="10"/>
    </row>
    <row r="736" spans="1:5">
      <c r="A736" s="9"/>
      <c r="D736" s="10"/>
      <c r="E736" s="10"/>
    </row>
    <row r="737" spans="1:5">
      <c r="A737" s="9"/>
      <c r="D737" s="10"/>
      <c r="E737" s="10"/>
    </row>
    <row r="738" spans="1:5">
      <c r="A738" s="9"/>
      <c r="D738" s="10"/>
      <c r="E738" s="10"/>
    </row>
    <row r="739" spans="1:5">
      <c r="A739" s="9"/>
      <c r="D739" s="10"/>
      <c r="E739" s="10"/>
    </row>
    <row r="740" spans="1:5">
      <c r="A740" s="9"/>
      <c r="D740" s="10"/>
      <c r="E740" s="10"/>
    </row>
    <row r="741" spans="1:5">
      <c r="A741" s="9"/>
      <c r="D741" s="10"/>
      <c r="E741" s="10"/>
    </row>
    <row r="742" spans="1:5">
      <c r="A742" s="9"/>
      <c r="D742" s="10"/>
      <c r="E742" s="10"/>
    </row>
    <row r="743" spans="1:5">
      <c r="A743" s="9"/>
      <c r="D743" s="10"/>
      <c r="E743" s="10"/>
    </row>
    <row r="744" spans="1:5">
      <c r="A744" s="9"/>
      <c r="D744" s="10"/>
      <c r="E744" s="10"/>
    </row>
    <row r="745" spans="1:5">
      <c r="A745" s="9"/>
      <c r="D745" s="10"/>
      <c r="E745" s="10"/>
    </row>
    <row r="746" spans="1:5">
      <c r="A746" s="9"/>
      <c r="D746" s="10"/>
      <c r="E746" s="10"/>
    </row>
    <row r="747" spans="1:5">
      <c r="A747" s="9"/>
      <c r="D747" s="10"/>
      <c r="E747" s="10"/>
    </row>
    <row r="748" spans="1:5">
      <c r="A748" s="9"/>
      <c r="D748" s="10"/>
      <c r="E748" s="10"/>
    </row>
    <row r="749" spans="1:5">
      <c r="A749" s="9"/>
      <c r="D749" s="10"/>
      <c r="E749" s="10"/>
    </row>
    <row r="750" spans="1:5">
      <c r="A750" s="9"/>
      <c r="D750" s="10"/>
      <c r="E750" s="10"/>
    </row>
    <row r="751" spans="1:5">
      <c r="A751" s="9"/>
      <c r="D751" s="10"/>
      <c r="E751" s="10"/>
    </row>
    <row r="752" spans="1:5">
      <c r="A752" s="9"/>
      <c r="D752" s="10"/>
      <c r="E752" s="10"/>
    </row>
    <row r="753" spans="1:5">
      <c r="A753" s="9"/>
      <c r="D753" s="10"/>
      <c r="E753" s="10"/>
    </row>
    <row r="754" spans="1:5">
      <c r="A754" s="9"/>
      <c r="D754" s="10"/>
      <c r="E754" s="10"/>
    </row>
    <row r="755" spans="1:5">
      <c r="A755" s="9"/>
      <c r="D755" s="10"/>
      <c r="E755" s="10"/>
    </row>
    <row r="756" spans="1:5">
      <c r="A756" s="9"/>
      <c r="D756" s="10"/>
      <c r="E756" s="10"/>
    </row>
    <row r="757" spans="1:5">
      <c r="A757" s="9"/>
      <c r="D757" s="10"/>
      <c r="E757" s="10"/>
    </row>
    <row r="758" spans="1:5">
      <c r="A758" s="9"/>
      <c r="D758" s="10"/>
      <c r="E758" s="10"/>
    </row>
    <row r="759" spans="1:5">
      <c r="A759" s="9"/>
      <c r="D759" s="10"/>
      <c r="E759" s="10"/>
    </row>
    <row r="760" spans="1:5">
      <c r="A760" s="9"/>
      <c r="D760" s="10"/>
      <c r="E760" s="10"/>
    </row>
    <row r="761" spans="1:5">
      <c r="A761" s="9"/>
      <c r="D761" s="10"/>
      <c r="E761" s="10"/>
    </row>
    <row r="762" spans="1:5">
      <c r="A762" s="9"/>
      <c r="D762" s="10"/>
      <c r="E762" s="10"/>
    </row>
    <row r="763" spans="1:5">
      <c r="A763" s="9"/>
      <c r="D763" s="10"/>
      <c r="E763" s="10"/>
    </row>
    <row r="764" spans="1:5">
      <c r="A764" s="9"/>
      <c r="D764" s="10"/>
      <c r="E764" s="10"/>
    </row>
    <row r="765" spans="1:5">
      <c r="A765" s="9"/>
      <c r="D765" s="10"/>
      <c r="E765" s="10"/>
    </row>
    <row r="766" spans="1:5">
      <c r="A766" s="9"/>
      <c r="D766" s="10"/>
      <c r="E766" s="10"/>
    </row>
    <row r="767" spans="1:5">
      <c r="A767" s="9"/>
      <c r="D767" s="10"/>
      <c r="E767" s="10"/>
    </row>
    <row r="768" spans="1:5">
      <c r="A768" s="9"/>
      <c r="D768" s="10"/>
      <c r="E768" s="10"/>
    </row>
    <row r="769" spans="1:5">
      <c r="A769" s="9"/>
      <c r="D769" s="10"/>
      <c r="E769" s="10"/>
    </row>
    <row r="770" spans="1:5">
      <c r="A770" s="9"/>
      <c r="D770" s="10"/>
      <c r="E770" s="10"/>
    </row>
    <row r="771" spans="1:5">
      <c r="A771" s="9"/>
      <c r="D771" s="10"/>
      <c r="E771" s="10"/>
    </row>
    <row r="772" spans="1:5">
      <c r="A772" s="9"/>
      <c r="D772" s="10"/>
      <c r="E772" s="10"/>
    </row>
    <row r="773" spans="1:5">
      <c r="A773" s="9"/>
      <c r="D773" s="10"/>
      <c r="E773" s="10"/>
    </row>
    <row r="774" spans="1:5">
      <c r="A774" s="9"/>
      <c r="D774" s="10"/>
      <c r="E774" s="10"/>
    </row>
    <row r="775" spans="1:5">
      <c r="A775" s="9"/>
      <c r="D775" s="10"/>
      <c r="E775" s="10"/>
    </row>
    <row r="776" spans="1:5">
      <c r="A776" s="9"/>
      <c r="D776" s="10"/>
      <c r="E776" s="10"/>
    </row>
    <row r="777" spans="1:5">
      <c r="A777" s="9"/>
      <c r="D777" s="10"/>
      <c r="E777" s="10"/>
    </row>
    <row r="778" spans="1:5">
      <c r="A778" s="9"/>
      <c r="D778" s="10"/>
      <c r="E778" s="10"/>
    </row>
    <row r="779" spans="1:5">
      <c r="A779" s="9"/>
      <c r="D779" s="10"/>
      <c r="E779" s="10"/>
    </row>
    <row r="780" spans="1:5">
      <c r="A780" s="9"/>
      <c r="D780" s="10"/>
      <c r="E780" s="10"/>
    </row>
    <row r="781" spans="1:5">
      <c r="A781" s="9"/>
      <c r="D781" s="10"/>
      <c r="E781" s="10"/>
    </row>
    <row r="782" spans="1:5">
      <c r="A782" s="9"/>
      <c r="D782" s="10"/>
      <c r="E782" s="10"/>
    </row>
    <row r="783" spans="1:5">
      <c r="A783" s="9"/>
      <c r="D783" s="10"/>
      <c r="E783" s="10"/>
    </row>
    <row r="784" spans="1:5">
      <c r="A784" s="9"/>
      <c r="D784" s="10"/>
      <c r="E784" s="10"/>
    </row>
    <row r="785" spans="1:5">
      <c r="A785" s="9"/>
      <c r="D785" s="10"/>
      <c r="E785" s="10"/>
    </row>
    <row r="786" spans="1:5">
      <c r="A786" s="9"/>
      <c r="D786" s="10"/>
      <c r="E786" s="10"/>
    </row>
    <row r="787" spans="1:5">
      <c r="A787" s="9"/>
      <c r="D787" s="10"/>
      <c r="E787" s="10"/>
    </row>
    <row r="788" spans="1:5">
      <c r="A788" s="9"/>
      <c r="D788" s="10"/>
      <c r="E788" s="10"/>
    </row>
    <row r="789" spans="1:5">
      <c r="A789" s="9"/>
      <c r="D789" s="10"/>
      <c r="E789" s="10"/>
    </row>
    <row r="790" spans="1:5">
      <c r="A790" s="9"/>
      <c r="D790" s="10"/>
      <c r="E790" s="10"/>
    </row>
    <row r="791" spans="1:5">
      <c r="A791" s="9"/>
      <c r="D791" s="10"/>
      <c r="E791" s="10"/>
    </row>
    <row r="792" spans="1:5">
      <c r="A792" s="9"/>
      <c r="D792" s="10"/>
      <c r="E792" s="10"/>
    </row>
    <row r="793" spans="1:5">
      <c r="A793" s="9"/>
      <c r="D793" s="10"/>
      <c r="E793" s="10"/>
    </row>
    <row r="794" spans="1:5">
      <c r="A794" s="9"/>
      <c r="D794" s="10"/>
      <c r="E794" s="10"/>
    </row>
    <row r="795" spans="1:5">
      <c r="A795" s="9"/>
      <c r="D795" s="10"/>
      <c r="E795" s="10"/>
    </row>
    <row r="796" spans="1:5">
      <c r="A796" s="9"/>
      <c r="D796" s="10"/>
      <c r="E796" s="10"/>
    </row>
    <row r="797" spans="1:5">
      <c r="A797" s="9"/>
      <c r="D797" s="10"/>
      <c r="E797" s="10"/>
    </row>
    <row r="798" spans="1:5">
      <c r="A798" s="9"/>
      <c r="D798" s="10"/>
      <c r="E798" s="10"/>
    </row>
    <row r="799" spans="1:5">
      <c r="A799" s="9"/>
      <c r="D799" s="10"/>
      <c r="E799" s="10"/>
    </row>
    <row r="800" spans="1:5">
      <c r="A800" s="9"/>
      <c r="D800" s="10"/>
      <c r="E800" s="10"/>
    </row>
    <row r="801" spans="1:5">
      <c r="A801" s="9"/>
      <c r="D801" s="10"/>
      <c r="E801" s="10"/>
    </row>
    <row r="802" spans="1:5">
      <c r="A802" s="9"/>
      <c r="D802" s="10"/>
      <c r="E802" s="10"/>
    </row>
    <row r="803" spans="1:5">
      <c r="A803" s="9"/>
      <c r="D803" s="10"/>
      <c r="E803" s="10"/>
    </row>
    <row r="804" spans="1:5">
      <c r="A804" s="9"/>
      <c r="D804" s="10"/>
      <c r="E804" s="10"/>
    </row>
    <row r="805" spans="1:5">
      <c r="A805" s="9"/>
      <c r="D805" s="10"/>
      <c r="E805" s="10"/>
    </row>
    <row r="806" spans="1:5">
      <c r="A806" s="9"/>
      <c r="D806" s="10"/>
      <c r="E806" s="10"/>
    </row>
    <row r="807" spans="1:5">
      <c r="A807" s="9"/>
      <c r="D807" s="10"/>
      <c r="E807" s="10"/>
    </row>
    <row r="808" spans="1:5">
      <c r="A808" s="9"/>
      <c r="D808" s="10"/>
      <c r="E808" s="10"/>
    </row>
    <row r="809" spans="1:5">
      <c r="A809" s="9"/>
      <c r="D809" s="10"/>
      <c r="E809" s="10"/>
    </row>
    <row r="810" spans="1:5">
      <c r="A810" s="9"/>
      <c r="D810" s="10"/>
      <c r="E810" s="10"/>
    </row>
    <row r="811" spans="1:5">
      <c r="A811" s="9"/>
      <c r="D811" s="10"/>
      <c r="E811" s="10"/>
    </row>
    <row r="812" spans="1:5">
      <c r="A812" s="9"/>
      <c r="D812" s="10"/>
      <c r="E812" s="10"/>
    </row>
    <row r="813" spans="1:5">
      <c r="A813" s="9"/>
      <c r="D813" s="10"/>
      <c r="E813" s="10"/>
    </row>
    <row r="814" spans="1:5">
      <c r="A814" s="9"/>
      <c r="D814" s="10"/>
      <c r="E814" s="10"/>
    </row>
    <row r="815" spans="1:5">
      <c r="A815" s="9"/>
      <c r="D815" s="10"/>
      <c r="E815" s="10"/>
    </row>
    <row r="816" spans="1:5">
      <c r="A816" s="9"/>
      <c r="D816" s="10"/>
      <c r="E816" s="10"/>
    </row>
    <row r="817" spans="1:5">
      <c r="A817" s="9"/>
      <c r="D817" s="10"/>
      <c r="E817" s="10"/>
    </row>
    <row r="818" spans="1:5">
      <c r="A818" s="9"/>
      <c r="D818" s="10"/>
      <c r="E818" s="10"/>
    </row>
    <row r="819" spans="1:5">
      <c r="A819" s="9"/>
      <c r="D819" s="10"/>
      <c r="E819" s="10"/>
    </row>
    <row r="820" spans="1:5">
      <c r="A820" s="9"/>
      <c r="D820" s="10"/>
      <c r="E820" s="10"/>
    </row>
    <row r="821" spans="1:5">
      <c r="A821" s="9"/>
      <c r="D821" s="10"/>
      <c r="E821" s="10"/>
    </row>
    <row r="822" spans="1:5">
      <c r="A822" s="9"/>
      <c r="D822" s="10"/>
      <c r="E822" s="10"/>
    </row>
    <row r="823" spans="1:5">
      <c r="A823" s="9"/>
      <c r="D823" s="10"/>
      <c r="E823" s="10"/>
    </row>
    <row r="824" spans="1:5">
      <c r="A824" s="9"/>
      <c r="D824" s="10"/>
      <c r="E824" s="10"/>
    </row>
    <row r="825" spans="1:5">
      <c r="A825" s="9"/>
      <c r="D825" s="10"/>
      <c r="E825" s="10"/>
    </row>
    <row r="826" spans="1:5">
      <c r="A826" s="9"/>
      <c r="D826" s="10"/>
      <c r="E826" s="10"/>
    </row>
    <row r="827" spans="1:5">
      <c r="A827" s="9"/>
      <c r="D827" s="10"/>
      <c r="E827" s="10"/>
    </row>
    <row r="828" spans="1:5">
      <c r="A828" s="9"/>
      <c r="D828" s="10"/>
      <c r="E828" s="10"/>
    </row>
    <row r="829" spans="1:5">
      <c r="A829" s="9"/>
      <c r="D829" s="10"/>
      <c r="E829" s="10"/>
    </row>
    <row r="830" spans="1:5">
      <c r="A830" s="9"/>
      <c r="D830" s="10"/>
      <c r="E830" s="10"/>
    </row>
    <row r="831" spans="1:5">
      <c r="A831" s="9"/>
      <c r="D831" s="10"/>
      <c r="E831" s="10"/>
    </row>
    <row r="832" spans="1:5">
      <c r="A832" s="9"/>
      <c r="D832" s="10"/>
      <c r="E832" s="10"/>
    </row>
    <row r="833" spans="1:5">
      <c r="A833" s="9"/>
      <c r="D833" s="10"/>
      <c r="E833" s="10"/>
    </row>
    <row r="834" spans="1:5">
      <c r="A834" s="9"/>
      <c r="D834" s="10"/>
      <c r="E834" s="10"/>
    </row>
    <row r="835" spans="1:5">
      <c r="A835" s="9"/>
      <c r="D835" s="10"/>
      <c r="E835" s="10"/>
    </row>
    <row r="836" spans="1:5">
      <c r="A836" s="9"/>
      <c r="D836" s="10"/>
      <c r="E836" s="10"/>
    </row>
    <row r="837" spans="1:5">
      <c r="A837" s="9"/>
      <c r="D837" s="10"/>
      <c r="E837" s="10"/>
    </row>
    <row r="838" spans="1:5">
      <c r="A838" s="9"/>
      <c r="D838" s="10"/>
      <c r="E838" s="10"/>
    </row>
    <row r="839" spans="1:5">
      <c r="A839" s="9"/>
      <c r="D839" s="10"/>
      <c r="E839" s="10"/>
    </row>
    <row r="840" spans="1:5">
      <c r="A840" s="9"/>
      <c r="D840" s="10"/>
      <c r="E840" s="10"/>
    </row>
    <row r="841" spans="1:5">
      <c r="A841" s="9"/>
      <c r="D841" s="10"/>
      <c r="E841" s="10"/>
    </row>
    <row r="842" spans="1:5">
      <c r="A842" s="9"/>
      <c r="D842" s="10"/>
      <c r="E842" s="10"/>
    </row>
    <row r="843" spans="1:5">
      <c r="A843" s="9"/>
      <c r="D843" s="10"/>
      <c r="E843" s="10"/>
    </row>
    <row r="844" spans="1:5">
      <c r="A844" s="9"/>
      <c r="D844" s="10"/>
      <c r="E844" s="10"/>
    </row>
    <row r="845" spans="1:5">
      <c r="A845" s="9"/>
      <c r="D845" s="10"/>
      <c r="E845" s="10"/>
    </row>
  </sheetData>
  <mergeCells count="1">
    <mergeCell ref="A2:A4"/>
  </mergeCells>
  <conditionalFormatting sqref="A5:A128 A130:A167 A169:A845">
    <cfRule type="notContainsBlanks" dxfId="1" priority="1">
      <formula>LEN(TRIM(A5))&gt;0</formula>
    </cfRule>
  </conditionalFormatting>
  <conditionalFormatting sqref="T5:T125 V9 T127:T187 T189:T197 T200:T224 V221:V222">
    <cfRule type="notContainsBlanks" dxfId="0" priority="2">
      <formula>LEN(TRIM(T5))&gt;0</formula>
    </cfRule>
  </conditionalFormatting>
  <dataValidations count="5">
    <dataValidation type="list" allowBlank="1" showInputMessage="1" showErrorMessage="1" sqref="C2:C1048576" xr:uid="{00000000-0002-0000-0000-000000000000}">
      <formula1>"Confidentiality, Integrity,  Availability"</formula1>
    </dataValidation>
    <dataValidation type="list" allowBlank="1" showErrorMessage="1" sqref="F2:F224" xr:uid="{00000000-0002-0000-0000-000001000000}">
      <formula1>"Physical,Local,Adjacent,Network"</formula1>
    </dataValidation>
    <dataValidation type="list" allowBlank="1" showErrorMessage="1" sqref="H2:H224 N2:N224 L2:L224 J2:J224" xr:uid="{00000000-0002-0000-0000-000002000000}">
      <formula1>"Negligible,Moderate,Major,Severe"</formula1>
    </dataValidation>
    <dataValidation type="list" allowBlank="1" showErrorMessage="1" sqref="S2:S224" xr:uid="{00000000-0002-0000-0000-000003000000}">
      <formula1>"Avoidance,Mitigation,Acceptance,Transfer"</formula1>
    </dataValidation>
    <dataValidation type="list" allowBlank="1" showInputMessage="1" showErrorMessage="1" sqref="B1:B16" xr:uid="{00000000-0002-0000-0000-000004000000}">
      <formula1>"Spoofing,Tampering,Repudiation,Information disclosure,Denial of service, Elevation of privilege"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showGridLines="0" workbookViewId="0"/>
  </sheetViews>
  <sheetFormatPr defaultColWidth="12.6640625" defaultRowHeight="13.2"/>
  <cols>
    <col min="1" max="1" width="24.44140625" customWidth="1"/>
    <col min="2" max="2" width="44.44140625" customWidth="1"/>
    <col min="3" max="3" width="19" customWidth="1"/>
    <col min="4" max="4" width="14.44140625" customWidth="1"/>
    <col min="5" max="5" width="27" customWidth="1"/>
    <col min="6" max="6" width="7.44140625" customWidth="1"/>
    <col min="7" max="7" width="13.33203125" customWidth="1"/>
    <col min="8" max="8" width="15" customWidth="1"/>
    <col min="9" max="26" width="12.44140625" customWidth="1"/>
  </cols>
  <sheetData>
    <row r="1" spans="1:12" ht="15" customHeight="1">
      <c r="A1" s="11" t="s">
        <v>30</v>
      </c>
      <c r="B1" s="11" t="s">
        <v>31</v>
      </c>
      <c r="C1" s="12"/>
      <c r="D1" s="13" t="s">
        <v>32</v>
      </c>
      <c r="E1" s="11" t="s">
        <v>33</v>
      </c>
      <c r="F1" s="14"/>
      <c r="G1" s="11" t="s">
        <v>34</v>
      </c>
      <c r="H1" s="11" t="s">
        <v>35</v>
      </c>
    </row>
    <row r="2" spans="1:12">
      <c r="A2" s="15" t="s">
        <v>36</v>
      </c>
      <c r="B2" s="16">
        <v>5</v>
      </c>
      <c r="C2" s="17"/>
      <c r="D2" s="18">
        <v>100</v>
      </c>
      <c r="E2" s="18" t="s">
        <v>37</v>
      </c>
      <c r="F2" s="14"/>
      <c r="G2" s="18" t="s">
        <v>38</v>
      </c>
      <c r="H2" s="16">
        <v>8.3000000000000007</v>
      </c>
    </row>
    <row r="3" spans="1:12">
      <c r="A3" s="15" t="s">
        <v>39</v>
      </c>
      <c r="B3" s="16">
        <v>1</v>
      </c>
      <c r="C3" s="17"/>
      <c r="D3" s="18">
        <v>49</v>
      </c>
      <c r="E3" s="18" t="s">
        <v>40</v>
      </c>
      <c r="F3" s="14"/>
      <c r="G3" s="18" t="s">
        <v>41</v>
      </c>
      <c r="H3" s="16">
        <v>5.0999999999999996</v>
      </c>
    </row>
    <row r="4" spans="1:12">
      <c r="A4" s="15" t="s">
        <v>42</v>
      </c>
      <c r="B4" s="16">
        <v>0.5</v>
      </c>
      <c r="C4" s="17"/>
      <c r="D4" s="18">
        <v>16</v>
      </c>
      <c r="E4" s="18" t="s">
        <v>43</v>
      </c>
      <c r="F4" s="14"/>
      <c r="G4" s="18" t="s">
        <v>44</v>
      </c>
      <c r="H4" s="16">
        <v>2.5</v>
      </c>
    </row>
    <row r="5" spans="1:12">
      <c r="A5" s="15" t="s">
        <v>45</v>
      </c>
      <c r="B5" s="16">
        <v>0.25</v>
      </c>
      <c r="C5" s="17"/>
      <c r="D5" s="18">
        <v>1</v>
      </c>
      <c r="E5" s="18" t="s">
        <v>46</v>
      </c>
      <c r="F5" s="14"/>
      <c r="G5" s="18" t="s">
        <v>47</v>
      </c>
      <c r="H5" s="16">
        <v>1</v>
      </c>
    </row>
    <row r="6" spans="1:12">
      <c r="A6" s="19"/>
      <c r="B6" s="17"/>
      <c r="C6" s="17"/>
      <c r="D6" s="18">
        <v>0</v>
      </c>
      <c r="E6" s="18" t="s">
        <v>48</v>
      </c>
      <c r="F6" s="14"/>
      <c r="G6" s="14"/>
      <c r="H6" s="14"/>
    </row>
    <row r="7" spans="1:12">
      <c r="A7" s="20" t="s">
        <v>49</v>
      </c>
      <c r="B7" s="21"/>
      <c r="C7" s="21"/>
      <c r="D7" s="17"/>
      <c r="E7" s="17"/>
      <c r="F7" s="14"/>
      <c r="G7" s="14"/>
      <c r="H7" s="14"/>
    </row>
    <row r="8" spans="1:12">
      <c r="A8" s="22" t="s">
        <v>34</v>
      </c>
      <c r="B8" s="11" t="s">
        <v>50</v>
      </c>
      <c r="C8" s="11" t="s">
        <v>51</v>
      </c>
      <c r="D8" s="17"/>
      <c r="E8" s="17"/>
      <c r="F8" s="14"/>
      <c r="G8" s="14"/>
      <c r="H8" s="14"/>
    </row>
    <row r="9" spans="1:12" ht="26.4">
      <c r="A9" s="20" t="s">
        <v>38</v>
      </c>
      <c r="B9" s="21" t="s">
        <v>52</v>
      </c>
      <c r="C9" s="20">
        <v>10</v>
      </c>
      <c r="D9" s="17"/>
      <c r="E9" s="17"/>
      <c r="F9" s="14"/>
      <c r="G9" s="23" t="s">
        <v>53</v>
      </c>
      <c r="H9" s="24"/>
      <c r="I9" s="8"/>
      <c r="J9" s="8"/>
      <c r="K9" s="8"/>
      <c r="L9" s="8"/>
    </row>
    <row r="10" spans="1:12" ht="27">
      <c r="A10" s="20" t="s">
        <v>41</v>
      </c>
      <c r="B10" s="21" t="s">
        <v>54</v>
      </c>
      <c r="C10" s="20">
        <v>7</v>
      </c>
      <c r="D10" s="17"/>
      <c r="E10" s="25" t="s">
        <v>55</v>
      </c>
      <c r="F10" s="14"/>
      <c r="G10" s="26" t="s">
        <v>46</v>
      </c>
      <c r="H10" s="26" t="s">
        <v>46</v>
      </c>
      <c r="I10" s="26" t="s">
        <v>46</v>
      </c>
      <c r="J10" s="27" t="s">
        <v>43</v>
      </c>
      <c r="K10" s="28" t="s">
        <v>47</v>
      </c>
      <c r="L10" s="69" t="s">
        <v>56</v>
      </c>
    </row>
    <row r="11" spans="1:12" ht="27">
      <c r="A11" s="20" t="s">
        <v>44</v>
      </c>
      <c r="B11" s="21" t="s">
        <v>57</v>
      </c>
      <c r="C11" s="20">
        <v>4</v>
      </c>
      <c r="D11" s="17"/>
      <c r="E11" s="21" t="s">
        <v>58</v>
      </c>
      <c r="F11" s="14"/>
      <c r="G11" s="26" t="s">
        <v>46</v>
      </c>
      <c r="H11" s="27" t="s">
        <v>43</v>
      </c>
      <c r="I11" s="27" t="s">
        <v>43</v>
      </c>
      <c r="J11" s="27" t="s">
        <v>43</v>
      </c>
      <c r="K11" s="28" t="s">
        <v>44</v>
      </c>
      <c r="L11" s="70"/>
    </row>
    <row r="12" spans="1:12" ht="14.4">
      <c r="A12" s="20" t="s">
        <v>47</v>
      </c>
      <c r="B12" s="21" t="s">
        <v>59</v>
      </c>
      <c r="C12" s="20">
        <v>1</v>
      </c>
      <c r="D12" s="17"/>
      <c r="E12" s="25" t="s">
        <v>60</v>
      </c>
      <c r="F12" s="14"/>
      <c r="G12" s="26" t="s">
        <v>46</v>
      </c>
      <c r="H12" s="27" t="s">
        <v>43</v>
      </c>
      <c r="I12" s="29" t="s">
        <v>40</v>
      </c>
      <c r="J12" s="29" t="s">
        <v>40</v>
      </c>
      <c r="K12" s="28" t="s">
        <v>41</v>
      </c>
      <c r="L12" s="70"/>
    </row>
    <row r="13" spans="1:12" ht="14.4">
      <c r="A13" s="19"/>
      <c r="B13" s="17"/>
      <c r="C13" s="17"/>
      <c r="D13" s="17"/>
      <c r="E13" s="24" t="s">
        <v>61</v>
      </c>
      <c r="F13" s="14"/>
      <c r="G13" s="27" t="s">
        <v>43</v>
      </c>
      <c r="H13" s="29" t="s">
        <v>40</v>
      </c>
      <c r="I13" s="29" t="s">
        <v>40</v>
      </c>
      <c r="J13" s="30" t="s">
        <v>37</v>
      </c>
      <c r="K13" s="28" t="s">
        <v>38</v>
      </c>
      <c r="L13" s="70"/>
    </row>
    <row r="14" spans="1:12" ht="14.4">
      <c r="A14" s="19"/>
      <c r="B14" s="17"/>
      <c r="C14" s="17"/>
      <c r="D14" s="17"/>
      <c r="E14" s="17"/>
      <c r="F14" s="14"/>
      <c r="G14" s="28" t="s">
        <v>48</v>
      </c>
      <c r="H14" s="28" t="s">
        <v>46</v>
      </c>
      <c r="I14" s="28" t="s">
        <v>43</v>
      </c>
      <c r="J14" s="28" t="s">
        <v>40</v>
      </c>
      <c r="K14" s="28"/>
      <c r="L14" s="70"/>
    </row>
    <row r="15" spans="1:12" ht="14.4">
      <c r="A15" s="20" t="s">
        <v>62</v>
      </c>
      <c r="B15" s="21"/>
      <c r="C15" s="21"/>
      <c r="D15" s="17"/>
      <c r="E15" s="17"/>
      <c r="F15" s="14"/>
      <c r="G15" s="72" t="s">
        <v>63</v>
      </c>
      <c r="H15" s="73"/>
      <c r="I15" s="73"/>
      <c r="J15" s="73"/>
      <c r="K15" s="74"/>
      <c r="L15" s="71"/>
    </row>
    <row r="16" spans="1:12">
      <c r="A16" s="22" t="s">
        <v>34</v>
      </c>
      <c r="B16" s="13" t="s">
        <v>64</v>
      </c>
      <c r="C16" s="11" t="s">
        <v>51</v>
      </c>
      <c r="D16" s="17"/>
      <c r="E16" s="22" t="s">
        <v>65</v>
      </c>
      <c r="F16" s="14"/>
      <c r="G16" s="14"/>
      <c r="H16" s="14"/>
    </row>
    <row r="17" spans="1:8" ht="39.6">
      <c r="A17" s="20" t="s">
        <v>38</v>
      </c>
      <c r="B17" s="21" t="s">
        <v>66</v>
      </c>
      <c r="C17" s="20">
        <v>10</v>
      </c>
      <c r="D17" s="17"/>
      <c r="E17" s="31" t="s">
        <v>67</v>
      </c>
      <c r="F17" s="14"/>
      <c r="G17" s="32" t="s">
        <v>68</v>
      </c>
      <c r="H17" s="33" t="s">
        <v>69</v>
      </c>
    </row>
    <row r="18" spans="1:8" ht="39.6">
      <c r="A18" s="20" t="s">
        <v>41</v>
      </c>
      <c r="B18" s="21" t="s">
        <v>70</v>
      </c>
      <c r="C18" s="20">
        <v>7</v>
      </c>
      <c r="D18" s="17"/>
      <c r="E18" s="15" t="s">
        <v>71</v>
      </c>
      <c r="F18" s="14"/>
      <c r="G18" s="32" t="s">
        <v>72</v>
      </c>
      <c r="H18" s="33" t="s">
        <v>46</v>
      </c>
    </row>
    <row r="19" spans="1:8" ht="39.6">
      <c r="A19" s="20" t="s">
        <v>44</v>
      </c>
      <c r="B19" s="21" t="s">
        <v>73</v>
      </c>
      <c r="C19" s="20">
        <v>4</v>
      </c>
      <c r="D19" s="17"/>
      <c r="E19" s="31" t="s">
        <v>74</v>
      </c>
      <c r="F19" s="14"/>
      <c r="G19" s="34" t="s">
        <v>75</v>
      </c>
      <c r="H19" s="35" t="s">
        <v>76</v>
      </c>
    </row>
    <row r="20" spans="1:8" ht="39.6">
      <c r="A20" s="20" t="s">
        <v>47</v>
      </c>
      <c r="B20" s="21" t="s">
        <v>77</v>
      </c>
      <c r="C20" s="20">
        <v>1</v>
      </c>
      <c r="D20" s="17"/>
      <c r="E20" s="15" t="s">
        <v>78</v>
      </c>
      <c r="F20" s="14"/>
      <c r="G20" s="14"/>
      <c r="H20" s="14"/>
    </row>
    <row r="21" spans="1:8">
      <c r="A21" s="19"/>
      <c r="B21" s="17"/>
      <c r="C21" s="17"/>
      <c r="D21" s="17"/>
      <c r="E21" s="31" t="s">
        <v>79</v>
      </c>
      <c r="F21" s="14"/>
      <c r="G21" s="14"/>
      <c r="H21" s="14"/>
    </row>
    <row r="22" spans="1:8">
      <c r="A22" s="19"/>
      <c r="B22" s="17"/>
      <c r="C22" s="17"/>
      <c r="D22" s="17"/>
      <c r="E22" s="15" t="s">
        <v>80</v>
      </c>
      <c r="F22" s="14"/>
      <c r="G22" s="14"/>
      <c r="H22" s="14"/>
    </row>
    <row r="23" spans="1:8">
      <c r="A23" s="20" t="s">
        <v>81</v>
      </c>
      <c r="B23" s="12"/>
      <c r="C23" s="12"/>
      <c r="D23" s="17"/>
      <c r="E23" s="17"/>
      <c r="F23" s="14"/>
      <c r="G23" s="14"/>
      <c r="H23" s="14"/>
    </row>
    <row r="24" spans="1:8">
      <c r="A24" s="22" t="s">
        <v>34</v>
      </c>
      <c r="B24" s="13" t="s">
        <v>82</v>
      </c>
      <c r="C24" s="13" t="s">
        <v>51</v>
      </c>
      <c r="D24" s="17"/>
      <c r="E24" s="17"/>
      <c r="F24" s="14"/>
      <c r="G24" s="14"/>
      <c r="H24" s="14"/>
    </row>
    <row r="25" spans="1:8" ht="92.4">
      <c r="A25" s="20" t="s">
        <v>38</v>
      </c>
      <c r="B25" s="21" t="s">
        <v>83</v>
      </c>
      <c r="C25" s="20">
        <v>10</v>
      </c>
      <c r="D25" s="17"/>
      <c r="E25" s="17"/>
      <c r="F25" s="14"/>
      <c r="G25" s="14"/>
      <c r="H25" s="14"/>
    </row>
    <row r="26" spans="1:8" ht="52.8">
      <c r="A26" s="20" t="s">
        <v>41</v>
      </c>
      <c r="B26" s="21" t="s">
        <v>84</v>
      </c>
      <c r="C26" s="20">
        <v>7</v>
      </c>
      <c r="D26" s="17"/>
      <c r="E26" s="17"/>
      <c r="F26" s="14"/>
      <c r="G26" s="14"/>
      <c r="H26" s="14"/>
    </row>
    <row r="27" spans="1:8" ht="52.8">
      <c r="A27" s="20" t="s">
        <v>44</v>
      </c>
      <c r="B27" s="21" t="s">
        <v>85</v>
      </c>
      <c r="C27" s="20">
        <v>4</v>
      </c>
      <c r="D27" s="17"/>
      <c r="E27" s="17"/>
      <c r="F27" s="14"/>
      <c r="G27" s="14"/>
      <c r="H27" s="14"/>
    </row>
    <row r="28" spans="1:8" ht="26.4">
      <c r="A28" s="20" t="s">
        <v>47</v>
      </c>
      <c r="B28" s="21" t="s">
        <v>86</v>
      </c>
      <c r="C28" s="20">
        <v>1</v>
      </c>
      <c r="D28" s="17"/>
      <c r="E28" s="17"/>
      <c r="F28" s="14"/>
      <c r="G28" s="14"/>
      <c r="H28" s="14"/>
    </row>
    <row r="29" spans="1:8">
      <c r="A29" s="19"/>
      <c r="B29" s="17"/>
      <c r="C29" s="17"/>
      <c r="D29" s="17"/>
      <c r="E29" s="17"/>
      <c r="F29" s="14"/>
      <c r="G29" s="14"/>
      <c r="H29" s="14"/>
    </row>
    <row r="30" spans="1:8">
      <c r="A30" s="19"/>
      <c r="B30" s="17"/>
      <c r="C30" s="17"/>
      <c r="D30" s="17"/>
      <c r="E30" s="17"/>
      <c r="F30" s="14"/>
      <c r="G30" s="14"/>
      <c r="H30" s="14"/>
    </row>
    <row r="31" spans="1:8">
      <c r="A31" s="20" t="s">
        <v>87</v>
      </c>
      <c r="B31" s="17"/>
      <c r="C31" s="17"/>
      <c r="D31" s="17"/>
      <c r="E31" s="17"/>
      <c r="F31" s="14"/>
      <c r="G31" s="14"/>
      <c r="H31" s="14"/>
    </row>
    <row r="32" spans="1:8">
      <c r="A32" s="22" t="s">
        <v>34</v>
      </c>
      <c r="B32" s="13" t="s">
        <v>88</v>
      </c>
      <c r="C32" s="22" t="s">
        <v>51</v>
      </c>
      <c r="D32" s="17"/>
      <c r="E32" s="17"/>
      <c r="F32" s="14"/>
      <c r="G32" s="14"/>
      <c r="H32" s="14"/>
    </row>
    <row r="33" spans="1:8" ht="52.8">
      <c r="A33" s="20" t="s">
        <v>38</v>
      </c>
      <c r="B33" s="36" t="s">
        <v>89</v>
      </c>
      <c r="C33" s="20">
        <v>10</v>
      </c>
      <c r="D33" s="17"/>
      <c r="E33" s="17"/>
      <c r="F33" s="14"/>
      <c r="G33" s="14"/>
      <c r="H33" s="14"/>
    </row>
    <row r="34" spans="1:8" ht="66">
      <c r="A34" s="20" t="s">
        <v>41</v>
      </c>
      <c r="B34" s="36" t="s">
        <v>90</v>
      </c>
      <c r="C34" s="20">
        <v>7</v>
      </c>
      <c r="D34" s="17"/>
      <c r="E34" s="17"/>
      <c r="F34" s="14"/>
      <c r="G34" s="14"/>
      <c r="H34" s="14"/>
    </row>
    <row r="35" spans="1:8" ht="66">
      <c r="A35" s="20" t="s">
        <v>44</v>
      </c>
      <c r="B35" s="36" t="s">
        <v>91</v>
      </c>
      <c r="C35" s="20">
        <v>4</v>
      </c>
      <c r="D35" s="17"/>
      <c r="E35" s="17"/>
      <c r="F35" s="14"/>
      <c r="G35" s="14"/>
      <c r="H35" s="14"/>
    </row>
    <row r="36" spans="1:8" ht="52.8">
      <c r="A36" s="20" t="s">
        <v>47</v>
      </c>
      <c r="B36" s="36" t="s">
        <v>92</v>
      </c>
      <c r="C36" s="20">
        <v>1</v>
      </c>
      <c r="D36" s="17"/>
      <c r="E36" s="17"/>
      <c r="F36" s="14"/>
      <c r="G36" s="14"/>
      <c r="H36" s="14"/>
    </row>
    <row r="37" spans="1:8">
      <c r="A37" s="17"/>
      <c r="B37" s="17"/>
      <c r="C37" s="17"/>
      <c r="D37" s="17"/>
      <c r="E37" s="17"/>
      <c r="F37" s="14"/>
      <c r="G37" s="14"/>
      <c r="H37" s="14"/>
    </row>
    <row r="38" spans="1:8" ht="15.75" customHeight="1">
      <c r="A38" s="17"/>
      <c r="B38" s="17" t="s">
        <v>93</v>
      </c>
      <c r="C38" s="17"/>
      <c r="D38" s="17"/>
      <c r="E38" s="17"/>
      <c r="F38" s="14"/>
      <c r="G38" s="14"/>
      <c r="H38" s="14"/>
    </row>
    <row r="39" spans="1:8" ht="15.75" customHeight="1">
      <c r="A39" s="37" t="s">
        <v>94</v>
      </c>
      <c r="B39" s="17"/>
      <c r="C39" s="17"/>
      <c r="D39" s="17"/>
      <c r="E39" s="17"/>
      <c r="F39" s="14"/>
      <c r="G39" s="14"/>
      <c r="H39" s="14"/>
    </row>
    <row r="40" spans="1:8" ht="15.75" customHeight="1">
      <c r="A40" s="11" t="s">
        <v>95</v>
      </c>
      <c r="B40" s="13" t="s">
        <v>96</v>
      </c>
      <c r="C40" s="11" t="s">
        <v>97</v>
      </c>
      <c r="D40" s="11" t="s">
        <v>51</v>
      </c>
      <c r="E40" s="14"/>
      <c r="F40" s="14"/>
      <c r="G40" s="14"/>
      <c r="H40" s="14"/>
    </row>
    <row r="41" spans="1:8" ht="32.25" customHeight="1">
      <c r="A41" s="20" t="s">
        <v>98</v>
      </c>
      <c r="B41" s="21" t="s">
        <v>99</v>
      </c>
      <c r="C41" s="20" t="s">
        <v>40</v>
      </c>
      <c r="D41" s="20">
        <v>10</v>
      </c>
      <c r="E41" s="14"/>
      <c r="F41" s="14"/>
      <c r="G41" s="14"/>
      <c r="H41" s="14"/>
    </row>
    <row r="42" spans="1:8" ht="27.75" customHeight="1">
      <c r="A42" s="20" t="s">
        <v>100</v>
      </c>
      <c r="B42" s="21" t="s">
        <v>101</v>
      </c>
      <c r="C42" s="20" t="s">
        <v>43</v>
      </c>
      <c r="D42" s="20">
        <v>7</v>
      </c>
      <c r="E42" s="14"/>
      <c r="F42" s="14"/>
      <c r="G42" s="14"/>
      <c r="H42" s="14"/>
    </row>
    <row r="43" spans="1:8" ht="45" customHeight="1">
      <c r="A43" s="20" t="s">
        <v>102</v>
      </c>
      <c r="B43" s="21" t="s">
        <v>103</v>
      </c>
      <c r="C43" s="20" t="s">
        <v>46</v>
      </c>
      <c r="D43" s="20">
        <v>4</v>
      </c>
      <c r="E43" s="14"/>
      <c r="F43" s="14"/>
      <c r="G43" s="14"/>
      <c r="H43" s="14"/>
    </row>
    <row r="44" spans="1:8" ht="31.5" customHeight="1">
      <c r="A44" s="20" t="s">
        <v>104</v>
      </c>
      <c r="B44" s="21" t="s">
        <v>105</v>
      </c>
      <c r="C44" s="20" t="s">
        <v>106</v>
      </c>
      <c r="D44" s="20">
        <v>1</v>
      </c>
      <c r="E44" s="14"/>
      <c r="F44" s="14"/>
      <c r="G44" s="14"/>
      <c r="H44" s="14"/>
    </row>
    <row r="45" spans="1:8" ht="15.75" customHeight="1">
      <c r="A45" s="14"/>
      <c r="B45" s="14"/>
      <c r="C45" s="14"/>
      <c r="D45" s="14"/>
      <c r="E45" s="14"/>
      <c r="F45" s="14"/>
      <c r="G45" s="14"/>
      <c r="H45" s="14"/>
    </row>
    <row r="46" spans="1:8" ht="15.75" customHeight="1">
      <c r="A46" s="38" t="s">
        <v>107</v>
      </c>
      <c r="B46" s="14"/>
      <c r="C46" s="14"/>
      <c r="D46" s="14"/>
      <c r="E46" s="14"/>
      <c r="F46" s="14"/>
      <c r="G46" s="14"/>
      <c r="H46" s="14"/>
    </row>
    <row r="47" spans="1:8" ht="15.75" customHeight="1">
      <c r="A47" s="39" t="s">
        <v>108</v>
      </c>
      <c r="B47" s="13" t="s">
        <v>96</v>
      </c>
      <c r="C47" s="14"/>
      <c r="D47" s="14"/>
      <c r="E47" s="14"/>
      <c r="F47" s="14"/>
      <c r="G47" s="14"/>
      <c r="H47" s="14"/>
    </row>
    <row r="48" spans="1:8" ht="69.75" customHeight="1">
      <c r="A48" s="40" t="s">
        <v>76</v>
      </c>
      <c r="B48" s="36" t="s">
        <v>109</v>
      </c>
      <c r="C48" s="14"/>
      <c r="D48" s="14"/>
      <c r="E48" s="14"/>
      <c r="F48" s="14"/>
      <c r="G48" s="14"/>
      <c r="H48" s="14"/>
    </row>
    <row r="49" spans="1:8" ht="39" customHeight="1">
      <c r="A49" s="40" t="s">
        <v>110</v>
      </c>
      <c r="B49" s="36" t="s">
        <v>111</v>
      </c>
      <c r="C49" s="14"/>
      <c r="D49" s="14"/>
      <c r="E49" s="14"/>
      <c r="F49" s="14"/>
      <c r="G49" s="14"/>
      <c r="H49" s="14"/>
    </row>
    <row r="50" spans="1:8" ht="102" customHeight="1">
      <c r="A50" s="40" t="s">
        <v>112</v>
      </c>
      <c r="B50" s="36" t="s">
        <v>113</v>
      </c>
      <c r="C50" s="14"/>
      <c r="D50" s="14"/>
      <c r="E50" s="14"/>
      <c r="F50" s="14"/>
      <c r="G50" s="14"/>
      <c r="H50" s="14"/>
    </row>
    <row r="51" spans="1:8" ht="90.75" customHeight="1">
      <c r="A51" s="40" t="s">
        <v>114</v>
      </c>
      <c r="B51" s="36" t="s">
        <v>115</v>
      </c>
      <c r="C51" s="14"/>
      <c r="D51" s="14"/>
      <c r="E51" s="14"/>
      <c r="F51" s="14"/>
      <c r="G51" s="14"/>
      <c r="H51" s="14"/>
    </row>
  </sheetData>
  <mergeCells count="2">
    <mergeCell ref="L10:L15"/>
    <mergeCell ref="G15:K15"/>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7"/>
  <sheetViews>
    <sheetView workbookViewId="0"/>
  </sheetViews>
  <sheetFormatPr defaultColWidth="12.6640625" defaultRowHeight="13.2"/>
  <cols>
    <col min="1" max="1" width="37.6640625" customWidth="1"/>
  </cols>
  <sheetData>
    <row r="1" spans="1:1">
      <c r="A1" s="1"/>
    </row>
    <row r="27" spans="1:1" ht="15">
      <c r="A27" s="4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Paper_1</vt:lpstr>
      <vt:lpstr>Reference</vt:lpstr>
      <vt:lpstr>Figure Paper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Vlad-Andrei CHELARU (124742)</cp:lastModifiedBy>
  <dcterms:modified xsi:type="dcterms:W3CDTF">2026-09-25T10:37:49Z</dcterms:modified>
</cp:coreProperties>
</file>