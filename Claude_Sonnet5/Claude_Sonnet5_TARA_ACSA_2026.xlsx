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10.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per_1" sheetId="1" state="visible" r:id="rId3"/>
    <sheet name="Reference" sheetId="2" state="visible" r:id="rId4"/>
    <sheet name="Figure Paper 1" sheetId="3" state="visible" r:id="rId5"/>
  </sheets>
  <definedNames>
    <definedName function="false" hidden="true" localSheetId="0" name="_xlnm._FilterDatabase" vbProcedure="false">Paper_1!$A$1:$W$293</definedName>
    <definedName function="false" hidden="true" localSheetId="0" name="Z_025A7AC2_695F_47D3_9E57_A5E831DF09B4_.wvu.FilterData" vbProcedure="false">Paper_1!$C$1:$C$845</definedName>
    <definedName function="false" hidden="true" localSheetId="0" name="Z_04A97E93_A9DC_4C1B_B4C3_A558315B82FE_.wvu.FilterData" vbProcedure="false">Paper_1!$C$1:$C$845</definedName>
    <definedName function="false" hidden="true" localSheetId="0" name="Z_0590267C_CCEC_42A0_A715_2D949FCD4392_.wvu.FilterData" vbProcedure="false">Paper_1!$C$1:$C$845</definedName>
    <definedName function="false" hidden="true" localSheetId="0" name="Z_0A5BFFCF_226F_4CA4_A868_8C1E591DF9E5_.wvu.FilterData" vbProcedure="false">Paper_1!$A$1:$W$224</definedName>
    <definedName function="false" hidden="true" localSheetId="0" name="Z_0B0F2042_CC56_4C54_98F8_4FFFD2D3810B_.wvu.FilterData" vbProcedure="false">Paper_1!$C$1:$C$845</definedName>
    <definedName function="false" hidden="true" localSheetId="0" name="Z_0F767810_6CFE_4948_89FC_5562DF1E5DA6_.wvu.FilterData" vbProcedure="false">Paper_1!$C$1:$C$845</definedName>
    <definedName function="false" hidden="true" localSheetId="0" name="Z_1488BABD_90C7_4705_99AA_2D3CAD858875_.wvu.FilterData" vbProcedure="false">Paper_1!$C$1:$C$845</definedName>
    <definedName function="false" hidden="true" localSheetId="0" name="Z_17B9FE8B_3D16_4C01_B473_D2CF8E545FFB_.wvu.FilterData" vbProcedure="false">Paper_1!$C$1:$C$845</definedName>
    <definedName function="false" hidden="true" localSheetId="0" name="Z_1F0D97C5_E850_48A4_92AC_7A4616B60FDA_.wvu.FilterData" vbProcedure="false">Paper_1!$C$1:$C$845</definedName>
    <definedName function="false" hidden="true" localSheetId="0" name="Z_222E66B3_9E17_49DF_B581_D0873A645027_.wvu.FilterData" vbProcedure="false">Paper_1!$B$1:$B$845</definedName>
    <definedName function="false" hidden="true" localSheetId="0" name="Z_313E5414_8FB1_4B4C_9831_EA4BA4469F27_.wvu.FilterData" vbProcedure="false">Paper_1!$A$1:$W$845</definedName>
    <definedName function="false" hidden="true" localSheetId="0" name="Z_372D1D1E_142C_4194_A0DD_689D94A246DE_.wvu.FilterData" vbProcedure="false">Paper_1!$C$1:$C$845</definedName>
    <definedName function="false" hidden="true" localSheetId="0" name="Z_37D615BE_7420_42DD_BAE2_7F51DCED6BAB_.wvu.FilterData" vbProcedure="false">Paper_1!$C$1:$C$845</definedName>
    <definedName function="false" hidden="true" localSheetId="0" name="Z_38F00476_24FD_4EA2_8436_2D76EBD0A8DF_.wvu.FilterData" vbProcedure="false">Paper_1!$A$1:$W$224</definedName>
    <definedName function="false" hidden="true" localSheetId="0" name="Z_3FB5F56C_89DE_4C32_869D_E6525536F318_.wvu.FilterData" vbProcedure="false">Paper_1!$C$1:$C$845</definedName>
    <definedName function="false" hidden="true" localSheetId="0" name="Z_4398FFA0_D69F_4DDE_BFBE_0EADA06C4A16_.wvu.FilterData" vbProcedure="false">Paper_1!$C$1:$C$845</definedName>
    <definedName function="false" hidden="true" localSheetId="0" name="Z_48B750AB_A6FE_419F_BF71_04BE9EF337DB_.wvu.FilterData" vbProcedure="false">Paper_1!$B$1:$B$845</definedName>
    <definedName function="false" hidden="true" localSheetId="0" name="Z_4A067BC4_D2E6_4FB2_8678_980D99240757_.wvu.FilterData" vbProcedure="false">Paper_1!$A$1:$W$845</definedName>
    <definedName function="false" hidden="true" localSheetId="0" name="Z_4C1E1C7D_57E0_4A0D_8D2E_3FE0B7ADDDD7_.wvu.FilterData" vbProcedure="false">Paper_1!$A$1:$W$224</definedName>
    <definedName function="false" hidden="true" localSheetId="0" name="Z_4D2DFF6D_5952_4D62_A59C_8D85AA173D33_.wvu.FilterData" vbProcedure="false">Paper_1!$A$1:$W$224</definedName>
    <definedName function="false" hidden="true" localSheetId="0" name="Z_4E214EB7_A561_4E22_8884_0514B86E0E63_.wvu.FilterData" vbProcedure="false">Paper_1!$A$1:$W$845</definedName>
    <definedName function="false" hidden="true" localSheetId="0" name="Z_4EAD3F2D_5E45_4066_8D34_6297B3E3BE1E_.wvu.FilterData" vbProcedure="false">Paper_1!$C$1:$C$845</definedName>
    <definedName function="false" hidden="true" localSheetId="0" name="Z_4FF1465E_A06C_449A_8181_99398A9708CB_.wvu.FilterData" vbProcedure="false">Paper_1!$C$1:$C$845</definedName>
    <definedName function="false" hidden="true" localSheetId="0" name="Z_56FFFF34_C789_45A9_B318_6B002FD92CEC_.wvu.FilterData" vbProcedure="false">Paper_1!$C$1:$C$845</definedName>
    <definedName function="false" hidden="true" localSheetId="0" name="Z_593818F9_56E2_47F4_A6DF_0455D4101279_.wvu.FilterData" vbProcedure="false">Paper_1!$C$1:$C$845</definedName>
    <definedName function="false" hidden="true" localSheetId="0" name="Z_5B38700D_B6C9_4546_A6C1_B210AD8F72FB_.wvu.FilterData" vbProcedure="false">Paper_1!$C$1:$C$845</definedName>
    <definedName function="false" hidden="true" localSheetId="0" name="Z_5ECA9C19_17C2_4B53_91E9_0C17F8CA4217_.wvu.FilterData" vbProcedure="false">Paper_1!$C$1:$C$845</definedName>
    <definedName function="false" hidden="true" localSheetId="0" name="Z_603FDBA1_D4FE_4AB7_9531_6364C782BA8D_.wvu.FilterData" vbProcedure="false">Paper_1!$C$1:$C$845</definedName>
    <definedName function="false" hidden="true" localSheetId="0" name="Z_62BEFFAC_61AB_45E5_89EF_3D708EC59F37_.wvu.FilterData" vbProcedure="false">Paper_1!$C$1:$C$845</definedName>
    <definedName function="false" hidden="true" localSheetId="0" name="Z_64501680_B516_41FC_AA40_5944C37CD813_.wvu.FilterData" vbProcedure="false">Paper_1!$C$1:$C$845</definedName>
    <definedName function="false" hidden="true" localSheetId="0" name="Z_67631504_4C33_4648_9C4A_A62C3D85A17A_.wvu.FilterData" vbProcedure="false">Paper_1!$A$1:$W$224</definedName>
    <definedName function="false" hidden="true" localSheetId="0" name="Z_6C878C6E_462B_4321_B1C1_92E4316CB75E_.wvu.FilterData" vbProcedure="false">Paper_1!$C$1:$C$845</definedName>
    <definedName function="false" hidden="true" localSheetId="0" name="Z_6EC1CD78_F8A4_4929_BE58_AE6FD52EF834_.wvu.FilterData" vbProcedure="false">Paper_1!$A$1:$W$224</definedName>
    <definedName function="false" hidden="true" localSheetId="0" name="Z_75DE4009_0809_4060_88CF_2E286DAF5F04_.wvu.FilterData" vbProcedure="false">Paper_1!$A$1:$W$224</definedName>
    <definedName function="false" hidden="true" localSheetId="0" name="Z_760662CC_CB64_421D_9CB8_BFDB7F453921_.wvu.FilterData" vbProcedure="false">Paper_1!$C$1:$C$845</definedName>
    <definedName function="false" hidden="true" localSheetId="0" name="Z_76DE560E_37F3_4170_9F2C_E5BAC227BC31_.wvu.FilterData" vbProcedure="false">Paper_1!$A$1:$W$224</definedName>
    <definedName function="false" hidden="true" localSheetId="0" name="Z_7B124DA9_48B0_40B6_9712_4A03AFFC8E57_.wvu.FilterData" vbProcedure="false">Paper_1!$C$1:$C$845</definedName>
    <definedName function="false" hidden="true" localSheetId="0" name="Z_84B80BEF_2750_4CC2_B01B_F580FFFD29AB_.wvu.FilterData" vbProcedure="false">Paper_1!$C$1:$C$845</definedName>
    <definedName function="false" hidden="true" localSheetId="0" name="Z_8636EF91_5B33_406F_8DA3_A150D471CD61_.wvu.FilterData" vbProcedure="false">Paper_1!$A$1:$W$224</definedName>
    <definedName function="false" hidden="true" localSheetId="0" name="Z_8F77FD58_8227_4A26_B0F7_8D50011D5C21_.wvu.FilterData" vbProcedure="false">Paper_1!$A$1:$W$224</definedName>
    <definedName function="false" hidden="true" localSheetId="0" name="Z_90AA115C_D4C0_406A_800D_7A62E7944F42_.wvu.FilterData" vbProcedure="false">Paper_1!$C$1:$C$845</definedName>
    <definedName function="false" hidden="true" localSheetId="0" name="Z_91C26420_5839_44E0_A41A_CFD93A90A732_.wvu.FilterData" vbProcedure="false">Paper_1!$C$1:$C$845</definedName>
    <definedName function="false" hidden="true" localSheetId="0" name="Z_9289254D_A94E_49FC_AD9F_CD028511AD4E_.wvu.FilterData" vbProcedure="false">Paper_1!$A$1:$W$224</definedName>
    <definedName function="false" hidden="true" localSheetId="0" name="Z_997057DB_BB51_462C_B40D_52256B7B0B14_.wvu.FilterData" vbProcedure="false">Paper_1!$C$1:$C$845</definedName>
    <definedName function="false" hidden="true" localSheetId="0" name="Z_9AA74D9C_3162_4459_AE12_2528934FDDC6_.wvu.FilterData" vbProcedure="false">Paper_1!$Y$1:$AE$224</definedName>
    <definedName function="false" hidden="true" localSheetId="0" name="Z_9D64603E_BCCA_4745_AD55_C8F1E2CC7DF6_.wvu.FilterData" vbProcedure="false">Paper_1!$B$1:$B$845</definedName>
    <definedName function="false" hidden="true" localSheetId="0" name="Z_9F2E8597_23D6_4579_A79C_C9B4E6C0E833_.wvu.FilterData" vbProcedure="false">Paper_1!$C$1:$C$845</definedName>
    <definedName function="false" hidden="true" localSheetId="0" name="Z_A4CBE3E8_8BD0_4873_BEFE_72F2355A6C60_.wvu.FilterData" vbProcedure="false">Paper_1!$C$1:$C$845</definedName>
    <definedName function="false" hidden="true" localSheetId="0" name="Z_A6471E58_1A21_4644_B7AD_51CB66E2DA25_.wvu.FilterData" vbProcedure="false">Paper_1!$A$1:$W$224</definedName>
    <definedName function="false" hidden="true" localSheetId="0" name="Z_A69627FA_D41F_4A11_9932_FD073A78D696_.wvu.FilterData" vbProcedure="false">Paper_1!$C$1:$C$845</definedName>
    <definedName function="false" hidden="true" localSheetId="0" name="Z_A8C0CDB0_7B34_4059_8893_504201EB1479_.wvu.FilterData" vbProcedure="false">Paper_1!$B$1:$B$845</definedName>
    <definedName function="false" hidden="true" localSheetId="0" name="Z_AEF95CDA_7E45_4F86_9841_CD61BFA8E623_.wvu.FilterData" vbProcedure="false">Paper_1!$A$1:$W$224</definedName>
    <definedName function="false" hidden="true" localSheetId="0" name="Z_B0349FB7_F0B2_4360_BF68_D92EE07C2670_.wvu.FilterData" vbProcedure="false">Paper_1!$A$1:$W$194</definedName>
    <definedName function="false" hidden="true" localSheetId="0" name="Z_B1147BCB_CB95_4E6E_8179_7D58F01161D2_.wvu.FilterData" vbProcedure="false">Paper_1!$C$1:$C$845</definedName>
    <definedName function="false" hidden="true" localSheetId="0" name="Z_C2346DAF_3C6B_4EC4_ADAD_017E8199E43A_.wvu.FilterData" vbProcedure="false">Paper_1!$C$1:$C$845</definedName>
    <definedName function="false" hidden="true" localSheetId="0" name="Z_CAF0EA69_01F3_4F11_887F_99EA6AEAB662_.wvu.FilterData" vbProcedure="false">Paper_1!$A$1:$W$224</definedName>
    <definedName function="false" hidden="true" localSheetId="0" name="Z_CC70E333_17CF_4338_82E0_AD72DF37C24E_.wvu.FilterData" vbProcedure="false">Paper_1!$C$1:$C$845</definedName>
    <definedName function="false" hidden="true" localSheetId="0" name="Z_CEE893ED_1E8A_47C2_8459_948C3B1D964B_.wvu.FilterData" vbProcedure="false">Paper_1!$C$1:$C$845</definedName>
    <definedName function="false" hidden="true" localSheetId="0" name="Z_D074A271_151C_4CE3_B0D9_35E92897068B_.wvu.FilterData" vbProcedure="false">Paper_1!$C$1:$C$845</definedName>
    <definedName function="false" hidden="true" localSheetId="0" name="Z_D430B3E1_E60C_4671_8FA8_1D383D225278_.wvu.FilterData" vbProcedure="false">Paper_1!$C$1:$C$845</definedName>
    <definedName function="false" hidden="true" localSheetId="0" name="Z_D4C268AC_0785_4E67_A6AC_F9ABF6704EE3_.wvu.FilterData" vbProcedure="false">paper_1!#ref!</definedName>
    <definedName function="false" hidden="true" localSheetId="0" name="Z_D8D4B69D_A22D_4F29_86F0_152D8CF50CD4_.wvu.FilterData" vbProcedure="false">Paper_1!$D$1:$D$845</definedName>
    <definedName function="false" hidden="true" localSheetId="0" name="Z_DA392475_1661_4B54_8BFF_094FFA109104_.wvu.FilterData" vbProcedure="false">Paper_1!$C$1:$C$845</definedName>
    <definedName function="false" hidden="true" localSheetId="0" name="Z_DBD08A63_DAD5_48CF_80CB_5B7B05966D15_.wvu.FilterData" vbProcedure="false">Paper_1!$C$1:$C$845</definedName>
    <definedName function="false" hidden="true" localSheetId="0" name="Z_DC1A5D44_85B8_498A_96BF_E0FFE02DC92F_.wvu.FilterData" vbProcedure="false">Paper_1!$C$1:$C$845</definedName>
    <definedName function="false" hidden="true" localSheetId="0" name="Z_DE04874D_EF80_420E_A982_41623F990B46_.wvu.FilterData" vbProcedure="false">Paper_1!$C$1:$C$845</definedName>
    <definedName function="false" hidden="true" localSheetId="0" name="Z_E1AA0A4B_6776_4296_B342_5D8947C93E5F_.wvu.FilterData" vbProcedure="false">Paper_1!$A$1:$W$224</definedName>
    <definedName function="false" hidden="true" localSheetId="0" name="Z_E2A59C1E_06CD_47F7_A24D_FE09CD9EF22C_.wvu.FilterData" vbProcedure="false">Paper_1!$A$1:$W$845</definedName>
    <definedName function="false" hidden="true" localSheetId="0" name="Z_E4FDEB58_F6D4_4F20_8021_4A7F37853C62_.wvu.FilterData" vbProcedure="false">Paper_1!$C$1:$C$845</definedName>
    <definedName function="false" hidden="true" localSheetId="0" name="Z_E5FF392C_5593_4D9B_8773_BA4230B65DD9_.wvu.FilterData" vbProcedure="false">Paper_1!$A$1:$W$845</definedName>
    <definedName function="false" hidden="true" localSheetId="0" name="Z_E7212AA7_B944_427B_9823_DB5F24223252_.wvu.FilterData" vbProcedure="false">Paper_1!$C$1:$C$845</definedName>
    <definedName function="false" hidden="true" localSheetId="0" name="Z_EB6C5EC7_28BB_497C_8E72_B7C1296A946A_.wvu.FilterData" vbProcedure="false">Paper_1!$C$1:$C$845</definedName>
    <definedName function="false" hidden="true" localSheetId="0" name="Z_EB9B1935_DCA7_484B_92DF_4C387FD8D288_.wvu.FilterData" vbProcedure="false">Paper_1!$A$1:$W$224</definedName>
    <definedName function="false" hidden="true" localSheetId="0" name="Z_F0409DDC_EEB4_40E6_94FD_C6B766E4239D_.wvu.FilterData" vbProcedure="false">Paper_1!$C$1:$C$845</definedName>
    <definedName function="false" hidden="true" localSheetId="0" name="Z_F8B02C56_7360_44D2_9782_00BD52FAFCA8_.wvu.FilterData" vbProcedure="false">Paper_1!$A$1:$W$224</definedName>
    <definedName function="false" hidden="true" localSheetId="0" name="Z_FC2CB815_B2E0_4A25_A9C8_10AFFC5C8B1B_.wvu.FilterData" vbProcedure="false">Paper_1!$C$1:$C$845</definedName>
    <definedName function="false" hidden="true" localSheetId="0" name="Z_FF987B10_FB23_4B06_938D_0CD5FF652E74_.wvu.FilterData" vbProcedure="false">Paper_1!$C$1:$C$845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<sst xmlns="http://schemas.openxmlformats.org/spreadsheetml/2006/main" count="829" uniqueCount="510">
  <si>
    <t xml:space="preserve">Asset</t>
  </si>
  <si>
    <t xml:space="preserve">Threat type</t>
  </si>
  <si>
    <t xml:space="preserve">Security Attribute</t>
  </si>
  <si>
    <t xml:space="preserve">Damage Scenario</t>
  </si>
  <si>
    <t xml:space="preserve">Attack Path</t>
  </si>
  <si>
    <t xml:space="preserve">Attack vector</t>
  </si>
  <si>
    <t xml:space="preserve">Attack Vector Note / Motiv</t>
  </si>
  <si>
    <t xml:space="preserve">Safety Impact</t>
  </si>
  <si>
    <t xml:space="preserve">Safety Note / Motiv</t>
  </si>
  <si>
    <t xml:space="preserve">Financial Impact</t>
  </si>
  <si>
    <t xml:space="preserve">Financial Note / Motiv</t>
  </si>
  <si>
    <t xml:space="preserve">Operational Impact</t>
  </si>
  <si>
    <t xml:space="preserve">Operational Note / Motiv</t>
  </si>
  <si>
    <t xml:space="preserve">Privacy and Legislative Impact</t>
  </si>
  <si>
    <t xml:space="preserve">Privacy Note / Motiv</t>
  </si>
  <si>
    <t xml:space="preserve">Severity Level</t>
  </si>
  <si>
    <t xml:space="preserve">Feasibility Level</t>
  </si>
  <si>
    <t xml:space="preserve">Risk Value</t>
  </si>
  <si>
    <t xml:space="preserve">Treatment Options</t>
  </si>
  <si>
    <t xml:space="preserve">Measures</t>
  </si>
  <si>
    <t xml:space="preserve">Affected Design Elements</t>
  </si>
  <si>
    <t xml:space="preserve">Justification (Treatment)</t>
  </si>
  <si>
    <t xml:space="preserve">Cybersecurity Goals</t>
  </si>
  <si>
    <t xml:space="preserve">s</t>
  </si>
  <si>
    <t xml:space="preserve">f</t>
  </si>
  <si>
    <t xml:space="preserve">o</t>
  </si>
  <si>
    <t xml:space="preserve">p</t>
  </si>
  <si>
    <t xml:space="preserve">impact</t>
  </si>
  <si>
    <t xml:space="preserve">feasibility val</t>
  </si>
  <si>
    <t xml:space="preserve">Risk score</t>
  </si>
  <si>
    <t xml:space="preserve">DENM Management  Container- StationType</t>
  </si>
  <si>
    <t xml:space="preserve">Tampering</t>
  </si>
  <si>
    <t xml:space="preserve">Integrity</t>
  </si>
  <si>
    <t xml:space="preserve">The sender changes the StationType between two consecutive DENMs.</t>
  </si>
  <si>
    <t xml:space="preserve">The attacker needs access to a legitimate or compromised OBU (On-Board Unit) in the vehicle.</t>
  </si>
  <si>
    <t xml:space="preserve">Network</t>
  </si>
  <si>
    <t xml:space="preserve">This attack involves manipulating the message content (StationType) within the communication network.</t>
  </si>
  <si>
    <t xml:space="preserve">Negligible</t>
  </si>
  <si>
    <t xml:space="preserve">No immediate safety impact, but misclassification may affect priority-based decision-making.</t>
  </si>
  <si>
    <t xml:space="preserve">Moderate</t>
  </si>
  <si>
    <t xml:space="preserve">The impact is minimal and does not lead to substantial losses or any financial threat to the organization.</t>
  </si>
  <si>
    <t xml:space="preserve">It could cause minor disruption or annoyance if the wrong vehicle type is displayed, but it does not affect core functions.</t>
  </si>
  <si>
    <t xml:space="preserve">Changing the StationType in a DENM does not involve any privacy-sensitive data (e.g., driver or vehicle-specific information) nor does it directly violate legislation.</t>
  </si>
  <si>
    <t xml:space="preserve">Mitigation</t>
  </si>
  <si>
    <t xml:space="preserve">CAM message verification, Digital Signatures, Anomaly Detection, Rate Limiting, Trust-Based Filtering</t>
  </si>
  <si>
    <t xml:space="preserve">Authentication (PKI, Certificates), Message Parsing, Trust Management, CAM Validation, Security Policies, Autonomous Decision-Making</t>
  </si>
  <si>
    <t xml:space="preserve">Low impact but needs cryptographic checks and cross-verification with CAM messages.</t>
  </si>
  <si>
    <t xml:space="preserve">CO/NO2/SO2/O3 electrochemical sensors -&gt; IUC analog acquisition board (I2C ADC)</t>
  </si>
  <si>
    <t xml:space="preserve">Suppressed CO alert on the Status Display despite dangerous in-cabin concentration -&gt; occupant health harm; no driver warning to ventilate or stop. Safety.</t>
  </si>
  <si>
    <t xml:space="preserve">Attacker with brief physical access injects a DC bias or clamps the analog mV output line from the electrochemical sensor (e.g. via the exposed 3.5 mm debug/service connector), forcing artificially low readings before ADC digitization.</t>
  </si>
  <si>
    <t xml:space="preserve">Physical</t>
  </si>
  <si>
    <t xml:space="preserve">Requires the attacker to physically reach the exposed debug/service connector on the sensor unit; no network path is involved.</t>
  </si>
  <si>
    <t xml:space="preserve">Severe</t>
  </si>
  <si>
    <t xml:space="preserve">Undetected CO buildup can cause loss of consciousness or death if occupants receive no warning to ventilate.</t>
  </si>
  <si>
    <t xml:space="preserve">Limited direct financial loss, but potential liability exposure if the failure to warn contributes to injury.</t>
  </si>
  <si>
    <t xml:space="preserve">Major</t>
  </si>
  <si>
    <t xml:space="preserve">The core air-quality alerting function is disabled for the affected sensor channel.</t>
  </si>
  <si>
    <t xml:space="preserve">No personal or location data is affected by this tampering.</t>
  </si>
  <si>
    <t xml:space="preserve">Tamper-evident enclosure for the debug/service connector; signed/authenticated sensor firmware; plausibility/range checks on raw ADC readings; redundant CO sensing or cross-checking against other channels.</t>
  </si>
  <si>
    <t xml:space="preserve">Electrochemical sensor analog front-end, I2C ADC, sensor-unit enclosure/debug connector.</t>
  </si>
  <si>
    <t xml:space="preserve">High safety severity combined with low attack feasibility (physical access needed) still yields a risk that must be reduced via tamper protection and input validation.</t>
  </si>
  <si>
    <t xml:space="preserve">Ensure integrity of raw gas-concentration readings from sensor to ADC.</t>
  </si>
  <si>
    <t xml:space="preserve">Shared I2C bus (PM2.5/PM10, gas ADC, GNSS-adjacent bus)</t>
  </si>
  <si>
    <t xml:space="preserve">Cascading loss of PM/gas telemetry; IUC freezes last-known-good values or reports garbage, uploading a false 'safe' status. Safety / Operational.</t>
  </si>
  <si>
    <t xml:space="preserve">A rogue device or induced fault on the shared I2C bus (bus contention, address spoofing, clock-stretching abuse) corrupts or blocks several sensor readings simultaneously.</t>
  </si>
  <si>
    <t xml:space="preserve">Compromising the shared I2C bus requires direct physical/electrical access to the sensor unit's internal wiring.</t>
  </si>
  <si>
    <t xml:space="preserve">A false 'safe' status masking a genuine multi-channel pollution event could lead to severe occupant harm.</t>
  </si>
  <si>
    <t xml:space="preserve">Possible liability from false 'safe' readings shown to users; moderate reputational cost.</t>
  </si>
  <si>
    <t xml:space="preserve">Simultaneous corruption of several sensor channels degrades a core monitoring function.</t>
  </si>
  <si>
    <t xml:space="preserve">No PII involved.</t>
  </si>
  <si>
    <t xml:space="preserve">Bus-level authentication or address whitelisting, watchdog/plausibility checks across channels, physical shielding of the I2C bus, isolation of the GNSS-adjacent bus segment.</t>
  </si>
  <si>
    <t xml:space="preserve">I2C bus, PM2.5/PM10 sensor, gas ADC, sensor-unit housing.</t>
  </si>
  <si>
    <t xml:space="preserve">Multi-channel cascading failure combined with false-safe reporting drives high operational/safety risk; feasibility is low due to the need for physical bus access, but consequence severity justifies mitigation.</t>
  </si>
  <si>
    <t xml:space="preserve">Ensure integrity and availability of all sensor channels sharing the I2C bus.</t>
  </si>
  <si>
    <t xml:space="preserve">Sensor-unit firmware (MicroPython on ESP32/PyCom FiPy SoC)</t>
  </si>
  <si>
    <t xml:space="preserve">Persistent falsification of all onward telemetry with no physical evidence of tampering, undermining every downstream alert and dataset. Safety / Financial.</t>
  </si>
  <si>
    <t xml:space="preserve">Attacker with local access to the unit's debug/firmware-update jack flashes modified firmware that fixes sensor register values or disables the fault-tolerant sampling logic.</t>
  </si>
  <si>
    <t xml:space="preserve">Flashing firmware requires physical access to the debug/firmware-update jack.</t>
  </si>
  <si>
    <t xml:space="preserve">All future alerts derived from this node become unreliable, potentially masking real hazards indefinitely.</t>
  </si>
  <si>
    <t xml:space="preserve">Undetectable persistent compromise can require costly fleet-wide audits, node replacement, and data invalidation.</t>
  </si>
  <si>
    <t xml:space="preserve">Falsified telemetry corrupts the unit's entire operational function persistently.</t>
  </si>
  <si>
    <t xml:space="preserve">No PII directly exposed, though downstream location-tagged data integrity is also affected.</t>
  </si>
  <si>
    <t xml:space="preserve">Secure boot, signed firmware updates, disable/lock the debug port in production, firmware integrity attestation to the far-edge device.</t>
  </si>
  <si>
    <t xml:space="preserve">ESP32/PyCom FiPy SoC firmware, debug/firmware-update interface.</t>
  </si>
  <si>
    <t xml:space="preserve">The severity and stealth of persistent falsification outweigh the low feasibility (physical access needed); secure boot is a standard, proportionate control.</t>
  </si>
  <si>
    <t xml:space="preserve">Ensure authenticity and integrity of sensor-unit firmware.</t>
  </si>
  <si>
    <t xml:space="preserve">Sensor-unit firmware (MicroPython on ESP32/PyCom FiPy SoC) - debug/firmware-update jack</t>
  </si>
  <si>
    <t xml:space="preserve">Elevation of privilege</t>
  </si>
  <si>
    <t xml:space="preserve">Attacker gains full control of the sensor node itself, enabling any of the above tampering effects plus use of the node as a foothold to attack the WiFi/LoRa links it feeds. Operational / Financial.</t>
  </si>
  <si>
    <t xml:space="preserve">The same physically-exposed debug/firmware-update jack grants an attacker privileged code-execution rights beyond the intended firmware-update scope, allowing arbitrary code to run at the level of the device's core sampling/communication logic.</t>
  </si>
  <si>
    <t xml:space="preserve">Exploiting the debug jack's excess privilege requires the same physical access as SEN-03a.</t>
  </si>
  <si>
    <t xml:space="preserve">Full node compromise enables every safety-relevant tampering effect described for the same node.</t>
  </si>
  <si>
    <t xml:space="preserve">A fully compromised node becomes a durable foothold, increasing incident-response and remediation cost.</t>
  </si>
  <si>
    <t xml:space="preserve">Complete loss of trust in the node's core sampling/communication logic.</t>
  </si>
  <si>
    <t xml:space="preserve">No direct PII, though the node could be leveraged to pivot toward privacy-relevant links (WiFi/LoRa).</t>
  </si>
  <si>
    <t xml:space="preserve">Restrict debug interface privileges to firmware-update only, hardware secure element, disable JTAG/debug in production units, network segmentation for compromised-node containment.</t>
  </si>
  <si>
    <t xml:space="preserve">Debug/firmware-update jack, SoC execution environment, sensor-unit firmware.</t>
  </si>
  <si>
    <t xml:space="preserve">This is the root-cause enabler for several other threats; hardening the debug interface materially reduces the whole sensor-unit attack surface.</t>
  </si>
  <si>
    <t xml:space="preserve">Restrict the debug/firmware-update interface to its intended privilege scope.</t>
  </si>
  <si>
    <t xml:space="preserve">Sensor sampling loop / power subsystem</t>
  </si>
  <si>
    <t xml:space="preserve">Denial of service</t>
  </si>
  <si>
    <t xml:space="preserve">Availability</t>
  </si>
  <si>
    <t xml:space="preserve">IUC reports 'sensor not stabilized'/stale data; occupants receive no real-time warning during an actual pollution event. Safety.</t>
  </si>
  <si>
    <t xml:space="preserve">Deliberate power-line noise injection or manipulation of the physically-accessible battery-isolation relay starves gas sensors of clean power, causing stabilization failures.</t>
  </si>
  <si>
    <t xml:space="preserve">The battery-isolation relay and power lines require physical access to manipulate.</t>
  </si>
  <si>
    <t xml:space="preserve">No warning is available exactly when a real hazardous exposure occurs.</t>
  </si>
  <si>
    <t xml:space="preserve">Minor cost from replacement/diagnostics; low direct financial exposure.</t>
  </si>
  <si>
    <t xml:space="preserve">Loss of stabilized sensor readings degrades an important monitoring function.</t>
  </si>
  <si>
    <t xml:space="preserve">Physical protection/locking of relay and power lines, power-line filtering, brownout detection and alerting, backup power buffering.</t>
  </si>
  <si>
    <t xml:space="preserve">Battery-isolation relay, sensor power subsystem.</t>
  </si>
  <si>
    <t xml:space="preserve">Low-cost physical hardening (locking/shielding) substantially reduces likelihood while consequence remains safety-relevant.</t>
  </si>
  <si>
    <t xml:space="preserve">Ensure availability of clean power to the sensor sampling loop.</t>
  </si>
  <si>
    <t xml:space="preserve">Raw 32-byte sensor data frame (inner unit -&gt; outer unit -&gt; far-edge device)</t>
  </si>
  <si>
    <t xml:space="preserve">Repudiation</t>
  </si>
  <si>
    <t xml:space="preserve">Regulatory/liability disputes over recorded exposure data cannot be resolved -- falsified records are indistinguishable from genuine ones. Financial / Operational.</t>
  </si>
  <si>
    <t xml:space="preserve">The compact frame format carries no cryptographic signature or per-frame authentication tag; a compromised node anywhere in the chain can inject or alter frames with no way to later prove which node produced which value.</t>
  </si>
  <si>
    <t xml:space="preserve">Local</t>
  </si>
  <si>
    <t xml:space="preserve">Exploiting the missing per-frame authentication requires control of a node already on the internal sensor-to-edge path.</t>
  </si>
  <si>
    <t xml:space="preserve">No direct safety consequence; the impact is evidentiary/legal.</t>
  </si>
  <si>
    <t xml:space="preserve">Unresolved liability and regulatory disputes over falsified exposure records carry material financial risk.</t>
  </si>
  <si>
    <t xml:space="preserve">Undermines confidence in the dataset but does not directly disable a vehicle function.</t>
  </si>
  <si>
    <t xml:space="preserve">No new PII exposure, though data provenance about a specific vehicle is affected.</t>
  </si>
  <si>
    <t xml:space="preserve">Per-frame message authentication codes (MAC), cryptographic signing at node level, tamper-evident logging, key provisioning per sensor unit.</t>
  </si>
  <si>
    <t xml:space="preserve">32-byte sensor frame format, inner/outer unit communication link.</t>
  </si>
  <si>
    <t xml:space="preserve">The low implementation cost of a MAC is disproportionate to the financial/legal exposure from unresolvable disputes.</t>
  </si>
  <si>
    <t xml:space="preserve">Ensure non-repudiation and authenticity of sensor measurement provenance.</t>
  </si>
  <si>
    <t xml:space="preserve">In-vehicle WiFi (router access point; sensor units as clients)</t>
  </si>
  <si>
    <t xml:space="preserve">Spoofing</t>
  </si>
  <si>
    <t xml:space="preserve">Sensor telemetry is silently diverted or dropped before reaching the far-edge device and 4G uplink; system appears to operate normally while no data reaches the cloud. Operational / Safety.</t>
  </si>
  <si>
    <t xml:space="preserve">Attacker parked nearby stands up a rogue AP cloning the vehicle's SSID/credentials, inducing the sensor units to associate with it instead of the legitimate far-edge device.</t>
  </si>
  <si>
    <t xml:space="preserve">Adjacent</t>
  </si>
  <si>
    <t xml:space="preserve">The rogue-AP attack is bound to the WiFi network stack but limited to attacker proximity to the vehicle.</t>
  </si>
  <si>
    <t xml:space="preserve">Silent telemetry loss removes any chance of a real-time or cloud-side alert during an actual pollution event.</t>
  </si>
  <si>
    <t xml:space="preserve">Gaps in fleet data reduce dataset value and may require remediation, moderate cost.</t>
  </si>
  <si>
    <t xml:space="preserve">The sensor-to-cloud data path is fully defeated while appearing nominal.</t>
  </si>
  <si>
    <t xml:space="preserve">Traffic redirected through a rogue AP could also be read by the attacker, exposing vehicle telemetry and location.</t>
  </si>
  <si>
    <t xml:space="preserve">Mutual authentication (WPA2/3-Enterprise or certificate-based), AP whitelisting via BSSID/certificate pinning, rogue-AP detection, fallback health-check via LoRa/4G.</t>
  </si>
  <si>
    <t xml:space="preserve">In-vehicle WiFi AP/router, sensor-unit WiFi client stack.</t>
  </si>
  <si>
    <t xml:space="preserve">Adjacent-range attack feasibility is limited but the complete, silent loss of the primary uplink path justifies strong mutual authentication.</t>
  </si>
  <si>
    <t xml:space="preserve">Ensure authenticity of the in-vehicle WiFi access point to sensor-unit clients.</t>
  </si>
  <si>
    <t xml:space="preserve">In-vehicle WiFi TCP/IP socket (sensor unit -&gt; far-edge decoder pod)</t>
  </si>
  <si>
    <t xml:space="preserve">Falsified in-cabin CO2/CO values reach the real-time in-vehicle alert, masking real danger or triggering nuisance false alarms. Safety / Operational.</t>
  </si>
  <si>
    <t xml:space="preserve">Attacker on the same WiFi segment performs a MitM on the plaintext TCP socket carrying raw sensor frames, altering pollutant values before they reach the decoder pod.</t>
  </si>
  <si>
    <t xml:space="preserve">MitM requires the attacker to be associated with the same WiFi segment, limited to network-adjacent range.</t>
  </si>
  <si>
    <t xml:space="preserve">Masking a genuine hazardous reading can directly lead to occupant harm from undetected exposure.</t>
  </si>
  <si>
    <t xml:space="preserve">Nuisance false alarms and post-incident investigation carry moderate cost.</t>
  </si>
  <si>
    <t xml:space="preserve">The real-time alerting function is directly compromised.</t>
  </si>
  <si>
    <t xml:space="preserve">No PII exposed by this tampering alone.</t>
  </si>
  <si>
    <t xml:space="preserve">TLS/DTLS on the sensor-to-decoder socket, mutual authentication, integrity MAC on payload, WiFi client isolation at the AP level.</t>
  </si>
  <si>
    <t xml:space="preserve">TCP/IP socket, decoder pod ingestion logic.</t>
  </si>
  <si>
    <t xml:space="preserve">Plaintext transport for a safety-relevant channel is a high-severity gap that a standard TLS/MAC control directly closes.</t>
  </si>
  <si>
    <t xml:space="preserve">Ensure integrity and confidentiality of sensor frames in transit over WiFi.</t>
  </si>
  <si>
    <t xml:space="preserve">2.4 GHz WiFi RF channel</t>
  </si>
  <si>
    <t xml:space="preserve">Complete loss of in-cabin monitoring and local alert broadcast; only the already-lossy LoRaWAN path remains, removing redundancy exactly where an attacker wants a blind spot. Safety / Operational.</t>
  </si>
  <si>
    <t xml:space="preserve">RF jamming or deauthentication flooding of the 2.4 GHz band disconnects sensor units from the far-edge device.</t>
  </si>
  <si>
    <t xml:space="preserve">Jamming/deauth requires RF proximity to the vehicle but no physical contact or credentials.</t>
  </si>
  <si>
    <t xml:space="preserve">Loss of the primary in-cabin alert path removes real-time protection, relying on a degraded backup.</t>
  </si>
  <si>
    <t xml:space="preserve">Limited direct financial impact beyond data gaps.</t>
  </si>
  <si>
    <t xml:space="preserve">Removes the primary link and leaves only a known-lossy backup, a core function impairment.</t>
  </si>
  <si>
    <t xml:space="preserve">No PII exposure from jamming.</t>
  </si>
  <si>
    <t xml:space="preserve">Spread-spectrum/channel-hopping resilience, RF jamming detection with driver alert, dual-path failover with a local non-networked audible alarm as last resort.</t>
  </si>
  <si>
    <t xml:space="preserve">2.4 GHz WiFi radio, far-edge device WiFi interface.</t>
  </si>
  <si>
    <t xml:space="preserve">Jamming is cheap and hard to fully prevent; adding a local, non-networked fail-safe alarm meaningfully reduces consequence severity.</t>
  </si>
  <si>
    <t xml:space="preserve">Ensure availability of the sensor-to-edge WiFi link, or a fail-safe local alert if lost.</t>
  </si>
  <si>
    <t xml:space="preserve">Far-edge device NodePort services (decoder pod, database) exposed on in-vehicle WiFi</t>
  </si>
  <si>
    <t xml:space="preserve">Confidentiality</t>
  </si>
  <si>
    <t xml:space="preserve">Full compromise of the far-edge Kubernetes node, enabling data exfiltration, persistent malware implantation, or use of the vehicle as a pivot into the fleet backend. Financial / Operational / Privacy.</t>
  </si>
  <si>
    <t xml:space="preserve">Decoder and database pods are exposed via NodePort on the internal WiFi network; an attacker who joins that network can reach unauthenticated or default-credentialed service ports directly.</t>
  </si>
  <si>
    <t xml:space="preserve">Reaching the NodePort services requires association to the in-vehicle WiFi network, i.e. adjacent access.</t>
  </si>
  <si>
    <t xml:space="preserve">Indirect safety risk if the compromised node is later used to falsify or suppress alerts.</t>
  </si>
  <si>
    <t xml:space="preserve">A durable foothold into the fleet backend represents a major financial/liability exposure across the fleet.</t>
  </si>
  <si>
    <t xml:space="preserve">Compromise of the decoder/database pods disables reliable local processing and storage.</t>
  </si>
  <si>
    <t xml:space="preserve">Locally buffered sensor/diagnostic data is exposed to exfiltration once the node is compromised.</t>
  </si>
  <si>
    <t xml:space="preserve">Remove/restrict NodePort exposure (use ClusterIP plus authenticated ingress), strong unique credentials, network policies/segmentation, k3s RBAC hardening, regular patching.</t>
  </si>
  <si>
    <t xml:space="preserve">k3s NodePort services, decoder pod, database pod.</t>
  </si>
  <si>
    <t xml:space="preserve">Default/weak credentials on exposed services are a well-known, easily fixed root cause with severe downstream consequences.</t>
  </si>
  <si>
    <t xml:space="preserve">Restrict access to the far-edge Kubernetes services to authenticated, least-privilege paths.</t>
  </si>
  <si>
    <t xml:space="preserve">868 MHz LoRa air interface (OBU -&gt; LoRa GW)</t>
  </si>
  <si>
    <t xml:space="preserve">Information disclosure</t>
  </si>
  <si>
    <t xml:space="preserve">Disclosure of a specific vehicle's trajectory and in-cabin exposure history -- a privacy breach for the driver/fleet and competitive-intelligence leakage for operators. Privacy / Financial.</t>
  </si>
  <si>
    <t xml:space="preserve">LoRaWAN session keys, if extracted from a compromised sensor unit or left at default/weak values, allow an eavesdropper within range to decrypt uplinks.</t>
  </si>
  <si>
    <t xml:space="preserve">Decrypting uplinks requires RF range to the transmission plus either weak/default keys or physical key extraction from a node.</t>
  </si>
  <si>
    <t xml:space="preserve">No direct safety consequence from disclosure alone.</t>
  </si>
  <si>
    <t xml:space="preserve">Competitive-intelligence leakage of fleet trajectories carries significant financial impact for operators.</t>
  </si>
  <si>
    <t xml:space="preserve">No direct effect on vehicle function.</t>
  </si>
  <si>
    <t xml:space="preserve">Location trajectory combined with in-cabin exposure history is highly sensitive and easily linked to a specific vehicle/driver.</t>
  </si>
  <si>
    <t xml:space="preserve">Unique per-device LoRaWAN session keys (no defaults), secure key storage/provisioning, key rotation, OTAA activation instead of ABP.</t>
  </si>
  <si>
    <t xml:space="preserve">LoRaWAN session-key storage, OBU LoRa radio.</t>
  </si>
  <si>
    <t xml:space="preserve">Default/weak keys are the dominant root cause; enforcing per-device OTAA keys is a low-cost, high-value fix for a severe privacy risk.</t>
  </si>
  <si>
    <t xml:space="preserve">Ensure confidentiality of LoRaWAN uplink payloads via strong per-device keys.</t>
  </si>
  <si>
    <t xml:space="preserve">LoRaWAN uplink frame counter / MAC layer</t>
  </si>
  <si>
    <t xml:space="preserve">Stale or attacker-controlled pollution/GPS data is accepted by the LoRaWAN server as genuine, corrupting the edge air-quality analysis and any short-term forecasts. Operational / Financial.</t>
  </si>
  <si>
    <t xml:space="preserve">Attacker captures valid encrypted uplink frames and re-transmits them later by abusing frame-counter reset/rollover behavior, or spoofs a device using a cloned DevEUI/AppEUI, impersonating a legitimate end-device to the network server.</t>
  </si>
  <si>
    <t xml:space="preserve">Replay/spoofing requires RF range to capture or transmit LoRa frames but no physical access.</t>
  </si>
  <si>
    <t xml:space="preserve">Corrupted short-term forecasts could indirectly steer users toward polluted conditions.</t>
  </si>
  <si>
    <t xml:space="preserve">Data-quality issues degrade the dataset's commercial/analytic value.</t>
  </si>
  <si>
    <t xml:space="preserve">Edge air-quality analysis and forecasting integrity are directly undermined.</t>
  </si>
  <si>
    <t xml:space="preserve">No new PII exposure from replay/spoofing alone.</t>
  </si>
  <si>
    <t xml:space="preserve">Strict frame-counter validation with anti-rollback, per-device unique keys to prevent DevEUI cloning, network-server replay detection.</t>
  </si>
  <si>
    <t xml:space="preserve">LoRaWAN network server, frame-counter validation logic.</t>
  </si>
  <si>
    <t xml:space="preserve">Standard LoRaWAN anti-replay mechanisms directly close this gap at low implementation cost.</t>
  </si>
  <si>
    <t xml:space="preserve">Ensure authenticity and freshness of LoRaWAN uplink frames.</t>
  </si>
  <si>
    <t xml:space="preserve">868 MHz ISM band RF path</t>
  </si>
  <si>
    <t xml:space="preserve">Loss of the only redundant uplink path when WiFi/4G is also degraded; the wider dataset develops silent gaps with no independent integrity check. Operational.</t>
  </si>
  <si>
    <t xml:space="preserve">The link already operates near the demodulation floor; even modest narrowband jamming pushes the already-marginal delivery rate toward zero.</t>
  </si>
  <si>
    <t xml:space="preserve">Jamming the ISM band requires RF proximity but no physical or credentialed access.</t>
  </si>
  <si>
    <t xml:space="preserve">Risk materializes mainly in combination with concurrent WiFi/4G loss, reducing overall alerting redundancy.</t>
  </si>
  <si>
    <t xml:space="preserve">Minimal direct financial cost beyond dataset gaps.</t>
  </si>
  <si>
    <t xml:space="preserve">Loss of the redundant telemetry path degrades overall system resilience.</t>
  </si>
  <si>
    <t xml:space="preserve">No PII exposure.</t>
  </si>
  <si>
    <t xml:space="preserve">Improve link budget/antenna design, adaptive data rate, jamming detection/reporting, treat LoRa outages as an explicit degraded-mode signal rather than silent gaps.</t>
  </si>
  <si>
    <t xml:space="preserve">LoRa RF front-end, LoRaWAN gateway link budget.</t>
  </si>
  <si>
    <t xml:space="preserve">Since the link is already marginal, cheap RF/link-budget improvements yield disproportionate resilience gains.</t>
  </si>
  <si>
    <t xml:space="preserve">Ensure availability of the LoRaWAN backup telemetry path, or explicit detection of its loss.</t>
  </si>
  <si>
    <t xml:space="preserve">LoRa Gateway (physically installed, rooftop-mounted)</t>
  </si>
  <si>
    <t xml:space="preserve">Silent interception or selective dropping of all vehicles reporting through that gateway; attacker gains a foothold into the backhaul network. Operational / Financial.</t>
  </si>
  <si>
    <t xml:space="preserve">The gateway is a physically exposed embedded Linux device. Attacker with brief physical/console access extracts backhaul credentials or reflashes the packet-forwarder config to duplicate/redirect traffic to a rogue LoRaWAN server.</t>
  </si>
  <si>
    <t xml:space="preserve">Extracting credentials or reflashing the packet forwarder requires physical/console access to the rooftop-mounted gateway.</t>
  </si>
  <si>
    <t xml:space="preserve">All vehicles served by the compromised gateway lose reliable telemetry integrity, an indirect safety concern at fleet scale.</t>
  </si>
  <si>
    <t xml:space="preserve">A single compromised gateway can affect an entire fleet segment and provide a durable network foothold.</t>
  </si>
  <si>
    <t xml:space="preserve">Selective dropping/redirection at the gateway undermines the whole backhaul for its served vehicles.</t>
  </si>
  <si>
    <t xml:space="preserve">Intercepted traffic could expose trajectory/exposure data for many vehicles at once.</t>
  </si>
  <si>
    <t xml:space="preserve">Tamper-evident/locked enclosure, hardware root of trust, encrypted credential storage, signed packet-forwarder configuration, remote integrity attestation/monitoring.</t>
  </si>
  <si>
    <t xml:space="preserve">LoRa gateway embedded Linux OS, packet-forwarder configuration, backhaul credentials.</t>
  </si>
  <si>
    <t xml:space="preserve">The fleet-wide blast radius from a single physical compromise justifies gateway hardening beyond basic physical security.</t>
  </si>
  <si>
    <t xml:space="preserve">Ensure integrity and confidentiality of the LoRa gateway's configuration and backhaul credentials.</t>
  </si>
  <si>
    <t xml:space="preserve">LoRa Edge Server (network-server pod, K8s-hosted, custom payload decoder)</t>
  </si>
  <si>
    <t xml:space="preserve">Lateral movement across the network-edge tier; falsification of the alerts/dashboards that feed fleet or city-operator decisions. Financial / Operational / Privacy.</t>
  </si>
  <si>
    <t xml:space="preserve">A malicious or malformed uplink payload exploits the custom decoder plug-in to break out of the intended parsing sandbox and reach adjacent pods.</t>
  </si>
  <si>
    <t xml:space="preserve">Delivering the malicious payload requires the ability to transmit an uplink reaching the network server, i.e. LoRa RF range or a spoofed/compromised device.</t>
  </si>
  <si>
    <t xml:space="preserve">Falsified alerts/dashboards could indirectly mislead operational or safety-relevant decisions.</t>
  </si>
  <si>
    <t xml:space="preserve">Lateral movement across the K8s edge tier risks broad service compromise and high remediation cost.</t>
  </si>
  <si>
    <t xml:space="preserve">Falsification of decision-feeding dashboards undermines fleet/city operations.</t>
  </si>
  <si>
    <t xml:space="preserve">Lateral movement could expose the network-server's stored trajectory/exposure data across many devices.</t>
  </si>
  <si>
    <t xml:space="preserve">Sandbox/harden the custom decoder plug-in (input validation, memory-safe parsing), K8s pod security policies/network policies, least-privilege service accounts, regular fuzz-testing of the decoder.</t>
  </si>
  <si>
    <t xml:space="preserve">Custom payload decoder plug-in, K8s network-server pod, time-series DB, edge-analysis pod.</t>
  </si>
  <si>
    <t xml:space="preserve">A single unvalidated decoder is a disproportionately high-value target; sandboxing it limits blast radius cost-effectively.</t>
  </si>
  <si>
    <t xml:space="preserve">Contain the custom payload decoder within a strict, least-privilege execution sandbox.</t>
  </si>
  <si>
    <t xml:space="preserve">GNSS/GPS receiver (outer unit, UART to SoC)</t>
  </si>
  <si>
    <t xml:space="preserve">Pollution measurements are geotagged to the wrong grid cell, corrupting 'healthy route' recommendations shown to other users. Financial / Privacy.</t>
  </si>
  <si>
    <t xml:space="preserve">Attacker broadcasts a stronger counterfeit GNSS signal near the vehicle, causing the outer unit to report a false position before it is appended to the outgoing frame.</t>
  </si>
  <si>
    <t xml:space="preserve">GNSS spoofing requires RF proximity to overpower the genuine satellite signal, but no physical or credentialed access.</t>
  </si>
  <si>
    <t xml:space="preserve">No direct occupant safety impact from mis-geotagging alone.</t>
  </si>
  <si>
    <t xml:space="preserve">Corrupted routing recommendations reduce the commercial/service value of the crowdsensed dataset.</t>
  </si>
  <si>
    <t xml:space="preserve">Degrades the accuracy of the healthy-route recommendation feature.</t>
  </si>
  <si>
    <t xml:space="preserve">Falsified position could obscure or mislink a vehicle's true trajectory in the shared dataset.</t>
  </si>
  <si>
    <t xml:space="preserve">Multi-constellation/signal-authentication GNSS receivers, plausibility checks against previous fix and speed, cross-check with cellular/WiFi-based positioning.</t>
  </si>
  <si>
    <t xml:space="preserve">GNSS/GPS receiver, outer-unit position-tagging logic.</t>
  </si>
  <si>
    <t xml:space="preserve">Consumer-grade GNSS spoofing is inexpensive to perform; low-cost plausibility checks meaningfully reduce impact without full anti-spoofing hardware.</t>
  </si>
  <si>
    <t xml:space="preserve">Ensure authenticity/plausibility of the geolocation fix appended to outgoing frames.</t>
  </si>
  <si>
    <t xml:space="preserve">GNSS RF front-end</t>
  </si>
  <si>
    <t xml:space="preserve">Records during the jammed window lack a valid coordinate; if the unit silently reuses the last known fix, stale-location records pollute the dataset undetected. Operational.</t>
  </si>
  <si>
    <t xml:space="preserve">Low-cost GNSS jamming prevents the outer unit from acquiring or maintaining a fix.</t>
  </si>
  <si>
    <t xml:space="preserve">GNSS jamming requires RF proximity but no physical or credentialed access.</t>
  </si>
  <si>
    <t xml:space="preserve">No direct occupant safety impact.</t>
  </si>
  <si>
    <t xml:space="preserve">Minor cost from degraded dataset quality.</t>
  </si>
  <si>
    <t xml:space="preserve">Silent reuse of stale fixes pollutes the operational dataset without warning.</t>
  </si>
  <si>
    <t xml:space="preserve">Explicit 'no-fix' flagging instead of silently reusing the last fix, jamming detection, dead-reckoning fallback with confidence decay.</t>
  </si>
  <si>
    <t xml:space="preserve">GNSS RF front-end, position-tagging logic.</t>
  </si>
  <si>
    <t xml:space="preserve">Explicitly flagging stale fixes is a low-cost software fix that prevents silent data pollution.</t>
  </si>
  <si>
    <t xml:space="preserve">Ensure availability of geolocation, or explicit indication of its unavailability.</t>
  </si>
  <si>
    <t xml:space="preserve">4G/LTE uplink (far-edge device -&gt; cloud server)</t>
  </si>
  <si>
    <t xml:space="preserve">Vehicle's uplink is transparently rerouted through attacker-controlled infrastructure, setting up the interception described in CELL-01b. Operational.</t>
  </si>
  <si>
    <t xml:space="preserve">A rogue base station/IMSI-catcher impersonates a legitimate cell tower, causing the LTE router to attach to it instead of the genuine carrier network.</t>
  </si>
  <si>
    <t xml:space="preserve">IMSI-catcher attacks require RF proximity to the vehicle but no physical or credentialed access.</t>
  </si>
  <si>
    <t xml:space="preserve">No direct safety consequence from attachment alone; consequence is realized via CELL-01b.</t>
  </si>
  <si>
    <t xml:space="preserve">Sets up the conditions for the more costly interception described in CELL-01b.</t>
  </si>
  <si>
    <t xml:space="preserve">Transparent traffic rerouting is an operational precursor to further compromise.</t>
  </si>
  <si>
    <t xml:space="preserve">No disclosure occurs at this stage alone.</t>
  </si>
  <si>
    <t xml:space="preserve">Mutual authentication at the application layer (independent of cellular trust), rogue base-station detection, SIM/eSIM with strong network authentication.</t>
  </si>
  <si>
    <t xml:space="preserve">LTE router baseband, cellular attach logic.</t>
  </si>
  <si>
    <t xml:space="preserve">Application-layer mutual authentication neutralizes this threat's downstream value even if the radio layer is spoofed.</t>
  </si>
  <si>
    <t xml:space="preserve">Ensure authenticity of the serving cellular network before trusting the bearer for sensitive traffic.</t>
  </si>
  <si>
    <t xml:space="preserve">Exposure of the vehicle's continuous, highest-completeness telemetry stream, including in-cabin health-relevant readings and location. Privacy.</t>
  </si>
  <si>
    <t xml:space="preserve">Once attached to the rogue cell (CELL-01a), traffic lacking mutual-TLS with certificate pinning at the application layer can be intercepted in transit.</t>
  </si>
  <si>
    <t xml:space="preserve">Interception is contingent on the RF-proximity rogue-cell attack described in CELL-01a.</t>
  </si>
  <si>
    <t xml:space="preserve">Disclosure alone does not directly endanger occupants.</t>
  </si>
  <si>
    <t xml:space="preserve">Exposure of the fleet's most complete telemetry stream carries significant competitive/liability risk.</t>
  </si>
  <si>
    <t xml:space="preserve">No direct vehicle-function impairment.</t>
  </si>
  <si>
    <t xml:space="preserve">Continuous location plus in-cabin health-relevant readings is highly sensitive and directly linkable to the vehicle/occupant.</t>
  </si>
  <si>
    <t xml:space="preserve">Mutual TLS with certificate pinning at the application layer, end-to-end payload encryption independent of transport, certificate-revocation monitoring.</t>
  </si>
  <si>
    <t xml:space="preserve">Application-layer transport security stack on the far-edge device.</t>
  </si>
  <si>
    <t xml:space="preserve">Certificate pinning is a standard, low-cost control that fully neutralizes this severe privacy exposure.</t>
  </si>
  <si>
    <t xml:space="preserve">Ensure end-to-end confidentiality of cellular telemetry independent of the underlying radio network's trustworthiness.</t>
  </si>
  <si>
    <t xml:space="preserve">LTE router management interface (also serves as in-vehicle WiFi AP)</t>
  </si>
  <si>
    <t xml:space="preserve">Total redirection or black-holing of the 4G uplink; a compromised router also makes rogue-AP takeover trivial. Operational / Financial.</t>
  </si>
  <si>
    <t xml:space="preserve">Default or weak router-admin credentials allow remote or local reconfiguration -- e.g. redirecting the APN, disabling the firewall, or bridging the AP onto a public network.</t>
  </si>
  <si>
    <t xml:space="preserve">Default credentials could be exploited either from within WiFi range or, if the management interface is remotely reachable, from the WAN side.</t>
  </si>
  <si>
    <t xml:space="preserve">Total uplink loss removes cloud-side alerting during the outage.</t>
  </si>
  <si>
    <t xml:space="preserve">A compromised router is a single point of failure enabling multiple downstream attacks.</t>
  </si>
  <si>
    <t xml:space="preserve">Complete loss/redirection of the primary cloud uplink is a core function impairment.</t>
  </si>
  <si>
    <t xml:space="preserve">Redirected traffic could expose vehicle data to the attacker.</t>
  </si>
  <si>
    <t xml:space="preserve">Force unique strong admin credentials at provisioning, disable remote/WAN-side management, firmware update enforcement, firewall/ACL hardening.</t>
  </si>
  <si>
    <t xml:space="preserve">LTE router management interface, firewall/APN configuration.</t>
  </si>
  <si>
    <t xml:space="preserve">Eliminating default credentials is a near-zero-cost fix for a single point of failure with severe downstream reach.</t>
  </si>
  <si>
    <t xml:space="preserve">Ensure integrity and access control of the LTE router's management interface.</t>
  </si>
  <si>
    <t xml:space="preserve">Far-edge device main communications pod (publishes updates to cloud via 4G)</t>
  </si>
  <si>
    <t xml:space="preserve">Attacker-controlled data reaches cloud long-term storage as if legitimate, poisoning both real-time alerting and the historical dataset used for forecasting. Financial / Operational / Privacy.</t>
  </si>
  <si>
    <t xml:space="preserve">An attacker who has already gained access to the pod (e.g. via CELL-03b or WIFI-04) modifies its logic to alter sensor values before they are published to the cloud.</t>
  </si>
  <si>
    <t xml:space="preserve">Requires a prior foothold in the pod, gained via CELL-03b or WIFI-04, both of which need in-vehicle WiFi proximity.</t>
  </si>
  <si>
    <t xml:space="preserve">Real-time alerting integrity is directly compromised for the affected vehicle.</t>
  </si>
  <si>
    <t xml:space="preserve">Poisoning long-term storage affects the value and trustworthiness of the entire historical dataset.</t>
  </si>
  <si>
    <t xml:space="preserve">Both real-time and historical processing pipelines are affected.</t>
  </si>
  <si>
    <t xml:space="preserve">Altered data could misrepresent a vehicle's exposure/location history.</t>
  </si>
  <si>
    <t xml:space="preserve">Code-integrity verification for the communications pod, runtime attestation, immutable/append-only ingestion with server-side anomaly detection, container image signing.</t>
  </si>
  <si>
    <t xml:space="preserve">Communications pod business logic, cloud ingestion pipeline.</t>
  </si>
  <si>
    <t xml:space="preserve">Since this threat depends on a prior foothold, closing CELL-03b/WIFI-04 is the primary control; server-side anomaly detection adds defense in depth.</t>
  </si>
  <si>
    <t xml:space="preserve">Ensure integrity of sensor data published from the far-edge device to the cloud.</t>
  </si>
  <si>
    <t xml:space="preserve">Establishes the foothold needed for CELL-03a and gives the attacker a durable presence on the vehicle's compute node. Operational / Financial.</t>
  </si>
  <si>
    <t xml:space="preserve">Supply-chain compromise of a custom container image, or exploitation of an exposed NodePort, lets an attacker escalate from network-level access to root/container-level control of the pod.</t>
  </si>
  <si>
    <t xml:space="preserve">The NodePort path requires in-vehicle WiFi access; a supply-chain path could originate remotely during image build/distribution.</t>
  </si>
  <si>
    <t xml:space="preserve">Indirect safety risk via the downstream tampering it enables (CELL-03a).</t>
  </si>
  <si>
    <t xml:space="preserve">A durable root-level foothold on the compute node is a major remediation and liability cost.</t>
  </si>
  <si>
    <t xml:space="preserve">Persistent unauthorized control of a core compute pod.</t>
  </si>
  <si>
    <t xml:space="preserve">The foothold could later be used to exfiltrate stored data.</t>
  </si>
  <si>
    <t xml:space="preserve">Image signing and provenance verification (supply chain), remove/restrict NodePort exposure, least-privilege container runtime, regular vulnerability scanning.</t>
  </si>
  <si>
    <t xml:space="preserve">Container image supply chain, k3s NodePort configuration, communications pod.</t>
  </si>
  <si>
    <t xml:space="preserve">This is a root-cause enabler for CELL-03a; supply-chain and network-exposure hardening jointly close both paths.</t>
  </si>
  <si>
    <t xml:space="preserve">Prevent unauthorized privilege escalation into the communications pod's execution environment.</t>
  </si>
  <si>
    <t xml:space="preserve">Local relational database pod (far-edge device)</t>
  </si>
  <si>
    <t xml:space="preserve">Exposure of vehicle diagnostic data beyond air-quality scope, extending privacy/financial impact if the channel touches proprietary fleet or vehicle-health data. Privacy / Financial.</t>
  </si>
  <si>
    <t xml:space="preserve">The local database also buffers broader vehicle-diagnostic data beyond air quality. A compromised or physically-removed storage medium exposes this database if unencrypted at rest.</t>
  </si>
  <si>
    <t xml:space="preserve">The clearest exploitation path is physical removal of the unencrypted storage medium.</t>
  </si>
  <si>
    <t xml:space="preserve">No direct safety consequence from data disclosure alone.</t>
  </si>
  <si>
    <t xml:space="preserve">Exposure of proprietary fleet/vehicle-health data carries significant competitive and liability risk.</t>
  </si>
  <si>
    <t xml:space="preserve">Vehicle-diagnostic data beyond air quality is sensitive and linkable to a specific vehicle.</t>
  </si>
  <si>
    <t xml:space="preserve">Full-disk/at-rest encryption for the database volume, physical tamper-evidence for storage media, data minimization (avoid buffering unrelated diagnostic data).</t>
  </si>
  <si>
    <t xml:space="preserve">Local relational database storage volume.</t>
  </si>
  <si>
    <t xml:space="preserve">At-rest encryption is a standard, low-cost control that directly neutralizes this exposure path.</t>
  </si>
  <si>
    <t xml:space="preserve">Ensure confidentiality of locally-buffered data at rest.</t>
  </si>
  <si>
    <t xml:space="preserve">Long-Term Storage Enabler REST/SQL/NoSQL API</t>
  </si>
  <si>
    <t xml:space="preserve">Attacker gains the access level needed to read, alter, or delete records across the entire fleet's stored dataset. Financial / Operational.</t>
  </si>
  <si>
    <t xml:space="preserve">Weak API-key/session management allows an attacker to escalate from an unauthenticated or low-privilege client to admin-level API access (e.g. bypassing authorization checks on privileged endpoints).</t>
  </si>
  <si>
    <t xml:space="preserve">The storage API is reachable over the public/cloud network without physical or proximity constraints.</t>
  </si>
  <si>
    <t xml:space="preserve">Fleet-wide data alteration could indirectly corrupt safety-relevant alerts/forecasts.</t>
  </si>
  <si>
    <t xml:space="preserve">Fleet-wide read/alter/delete access is one of the highest-consequence financial exposures in the system.</t>
  </si>
  <si>
    <t xml:space="preserve">Admin-level compromise of the storage API threatens the operational integrity of the entire fleet dataset.</t>
  </si>
  <si>
    <t xml:space="preserve">Elevated access also enables reading privacy-sensitive fleet data.</t>
  </si>
  <si>
    <t xml:space="preserve">Strong API-key/session lifecycle management, enforce least-privilege authorization checks on every endpoint, rate-limiting, regular penetration testing of authorization logic.</t>
  </si>
  <si>
    <t xml:space="preserve">Long-term storage REST/SQL/NoSQL API, authorization middleware.</t>
  </si>
  <si>
    <t xml:space="preserve">This is the highest-consequence node in the architecture (whole-fleet blast radius); rigorous authorization testing is proportionate.</t>
  </si>
  <si>
    <t xml:space="preserve">Ensure strict authorization boundaries on the long-term storage API for every privilege level.</t>
  </si>
  <si>
    <t xml:space="preserve">Mass-scale privacy breach across the entire vehicle fleet -- trip histories and exposure profiles tied to vehicle/user identifiers become disclosed. Privacy / Financial.</t>
  </si>
  <si>
    <t xml:space="preserve">Missing rate-limiting or an injection flaw in the storage query layer allows an attacker to enumerate or exfiltrate the full crowdsensed dataset (vehicle IDs, trajectories, indoor exposure history).</t>
  </si>
  <si>
    <t xml:space="preserve">Query-layer exploitation and enumeration occur entirely over the public/cloud network.</t>
  </si>
  <si>
    <t xml:space="preserve">No direct safety consequence from bulk disclosure alone.</t>
  </si>
  <si>
    <t xml:space="preserve">A mass-scale breach across the whole fleet carries the highest financial/regulatory exposure in the system.</t>
  </si>
  <si>
    <t xml:space="preserve">Primarily a confidentiality breach rather than a functional outage.</t>
  </si>
  <si>
    <t xml:space="preserve">Fleet-wide trip histories and exposure profiles tied to identifiers is the most severe privacy exposure possible in this system.</t>
  </si>
  <si>
    <t xml:space="preserve">Parameterized queries/ORM to prevent injection, strict rate-limiting and anomaly detection on bulk queries, data minimization/pseudonymization of vehicle identifiers.</t>
  </si>
  <si>
    <t xml:space="preserve">Storage query layer, REST/SQL/NoSQL API.</t>
  </si>
  <si>
    <t xml:space="preserve">Standard injection-prevention and rate-limiting controls are mandatory given the severe, fleet-wide privacy consequence.</t>
  </si>
  <si>
    <t xml:space="preserve">Prevent bulk enumeration/exfiltration of the crowdsensed dataset.</t>
  </si>
  <si>
    <t xml:space="preserve">Cloud Server &lt;-&gt; User web-application session</t>
  </si>
  <si>
    <t xml:space="preserve">Attacker views or manipulates a fleet manager's or city administrator's dashboard, gaining insight into fleet movement or falsifying the displayed AQI to the public. Privacy / Operational.</t>
  </si>
  <si>
    <t xml:space="preserve">MitM on the Cloud-User channel (TLS downgrade, stripped HTTPS, or a stolen SPA session cookie) allows an attacker to impersonate an authenticated user and take over their dashboard session.</t>
  </si>
  <si>
    <t xml:space="preserve">Session hijacking via TLS-downgrade/MitM can be performed over the open internet without proximity to the vehicle.</t>
  </si>
  <si>
    <t xml:space="preserve">A falsified public AQI display could mislead people making health-related decisions.</t>
  </si>
  <si>
    <t xml:space="preserve">Reputational/financial cost to the operator from a hijacked administrator dashboard.</t>
  </si>
  <si>
    <t xml:space="preserve">Session takeover grants operational control over the fleet dashboard.</t>
  </si>
  <si>
    <t xml:space="preserve">Fleet movement insight is exposed to an unauthorized party.</t>
  </si>
  <si>
    <t xml:space="preserve">Enforce HSTS/TLS-only with no downgrade path, secure/HttpOnly/SameSite cookies, short session lifetimes with re-authentication for sensitive actions, session-binding to device fingerprint.</t>
  </si>
  <si>
    <t xml:space="preserve">Web-application session management, TLS configuration.</t>
  </si>
  <si>
    <t xml:space="preserve">HSTS and secure cookie flags are near-zero-cost controls that close the most common session-hijacking paths.</t>
  </si>
  <si>
    <t xml:space="preserve">Ensure authenticity and integrity of the administrator dashboard session.</t>
  </si>
  <si>
    <t xml:space="preserve">User credential store / login flow</t>
  </si>
  <si>
    <t xml:space="preserve">Unauthorized access to a fleet operator's account, exposing operational data and enabling bulk export of fleet data. Privacy / Financial.</t>
  </si>
  <si>
    <t xml:space="preserve">Credential stuffing or phishing against the web application's authentication leads to account takeover, especially where MFA is absent.</t>
  </si>
  <si>
    <t xml:space="preserve">Credential stuffing/phishing is carried out entirely over the network against the public login endpoint.</t>
  </si>
  <si>
    <t xml:space="preserve">No direct safety consequence from account takeover alone.</t>
  </si>
  <si>
    <t xml:space="preserve">Bulk export of fleet data enabled by account takeover carries significant financial exposure.</t>
  </si>
  <si>
    <t xml:space="preserve">Operational dashboards/data become accessible to an unauthorized party.</t>
  </si>
  <si>
    <t xml:space="preserve">Operational and potentially personal fleet data is exposed to the attacker.</t>
  </si>
  <si>
    <t xml:space="preserve">Mandatory MFA, account-lockout/rate-limiting on login attempts, credential-stuffing detection (breached-password checks), phishing-resistant authentication (FIDO2/WebAuthn).</t>
  </si>
  <si>
    <t xml:space="preserve">Login/authentication flow, credential store.</t>
  </si>
  <si>
    <t xml:space="preserve">MFA is the single highest-impact, lowest-cost control against credential stuffing and phishing.</t>
  </si>
  <si>
    <t xml:space="preserve">Ensure strong, phishing-resistant authentication for fleet-operator accounts.</t>
  </si>
  <si>
    <t xml:space="preserve">Cloud-hosted REST ingest endpoint (from far-edge &amp; LoRa-edge pods)</t>
  </si>
  <si>
    <t xml:space="preserve">City-wide air-quality dashboard and healthy-route service become unavailable or serve stale predictions during an actual pollution event. Safety / Operational.</t>
  </si>
  <si>
    <t xml:space="preserve">Volumetric flooding of the cloud ingest API -- amplified by a botnet of compromised far-edge devices (CELL-03b) -- overwhelms the storage/prediction pipeline.</t>
  </si>
  <si>
    <t xml:space="preserve">Volumetric flooding is a classic network-layer DoS requiring no proximity or credentials.</t>
  </si>
  <si>
    <t xml:space="preserve">Unavailability during an actual pollution event removes the city-wide warning capability exactly when needed.</t>
  </si>
  <si>
    <t xml:space="preserve">Service outage during a real event carries significant reputational and contractual/SLA cost.</t>
  </si>
  <si>
    <t xml:space="preserve">Total loss of the city-wide dashboard/prediction service is a core function outage.</t>
  </si>
  <si>
    <t xml:space="preserve">No disclosure occurs from a volumetric DoS.</t>
  </si>
  <si>
    <t xml:space="preserve">Rate-limiting/WAF and DDoS-scrubbing in front of the ingest endpoint, auto-scaling ingestion pipeline, prioritized/authenticated ingestion channel isolated from public traffic, fixing the CELL-03b root cause to remove botnet capacity.</t>
  </si>
  <si>
    <t xml:space="preserve">Cloud ingest REST endpoint, prediction pipeline.</t>
  </si>
  <si>
    <t xml:space="preserve">Standard DDoS protection combined with closing the device-level botnet root cause (CELL-03b) addresses both the symptom and the source.</t>
  </si>
  <si>
    <t xml:space="preserve">Ensure availability of cloud ingestion and prediction services under high load or attack.</t>
  </si>
  <si>
    <t xml:space="preserve">ML/time-series prediction module</t>
  </si>
  <si>
    <t xml:space="preserve">Public 'healthy route' guidance and predictive alerts steer users toward, rather than away from, a polluted area. Safety / Privacy.</t>
  </si>
  <si>
    <t xml:space="preserve">An attacker with write access to the historical dataset (CLOUD-01b) injects crafted training-window data to bias short-term forecasts for a targeted geographic cell.</t>
  </si>
  <si>
    <t xml:space="preserve">Requires prior write access to the historical dataset, itself reachable over the public/cloud network.</t>
  </si>
  <si>
    <t xml:space="preserve">Deliberately steering users into a polluted area for a targeted location poses a direct health risk.</t>
  </si>
  <si>
    <t xml:space="preserve">Reputational damage to the service if biased guidance is discovered.</t>
  </si>
  <si>
    <t xml:space="preserve">The core function of the healthy-route/prediction service is subverted.</t>
  </si>
  <si>
    <t xml:space="preserve">Targeting a specific geographic cell could reveal analytic interest in specific users/areas.</t>
  </si>
  <si>
    <t xml:space="preserve">Write-access controls and anomaly detection on the training dataset (root-cause link to CLOUD-01a/01b), training-data validation/outlier rejection, model output sanity-bounding against sensor ground truth.</t>
  </si>
  <si>
    <t xml:space="preserve">ML/time-series prediction module, training-data pipeline.</t>
  </si>
  <si>
    <t xml:space="preserve">Since this threat is entirely enabled by CLOUD-01a/01b, closing those write-access gaps is the primary, proportionate control.</t>
  </si>
  <si>
    <t xml:space="preserve">Ensure integrity of the training data feeding the prediction model.</t>
  </si>
  <si>
    <t xml:space="preserve">Cloud Server &lt;-&gt; User data-export channel</t>
  </si>
  <si>
    <t xml:space="preserve">Undermines any post-incident forensic investigation or regulatory accountability requirement following a confirmed data breach. Financial / Privacy.</t>
  </si>
  <si>
    <t xml:space="preserve">Absence of comprehensive audit logging on the export and dashboard-configuration features means a malicious insider or compromised account (CLOUD-03) can exfiltrate or alter fleet data with no attributable trail.</t>
  </si>
  <si>
    <t xml:space="preserve">Exploiting the missing audit trail requires only normal authenticated access to the export/configuration features, i.e. network-level access.</t>
  </si>
  <si>
    <t xml:space="preserve">No direct safety consequence; the impact is evidentiary.</t>
  </si>
  <si>
    <t xml:space="preserve">Inability to attribute exfiltration/alteration significantly increases regulatory and liability exposure after a breach.</t>
  </si>
  <si>
    <t xml:space="preserve">Undermines incident response but does not directly disable services.</t>
  </si>
  <si>
    <t xml:space="preserve">Unattributed exfiltration of fleet data after a breach compounds the original privacy harm with unresolved accountability.</t>
  </si>
  <si>
    <t xml:space="preserve">Comprehensive, tamper-evident audit logging for exports and configuration changes, centralized log retention with integrity protection, alerting on bulk exports.</t>
  </si>
  <si>
    <t xml:space="preserve">Data-export feature, dashboard-configuration audit logging.</t>
  </si>
  <si>
    <t xml:space="preserve">Audit logging is a low-cost, foundational control required for regulatory accountability and incident response.</t>
  </si>
  <si>
    <t xml:space="preserve">Ensure non-repudiation of all data-export and configuration actions.</t>
  </si>
  <si>
    <t xml:space="preserve">IUC -&gt; Status Display</t>
  </si>
  <si>
    <t xml:space="preserve">The single point of direct human-facing feedback is neutralized -- occupants take no protective action during an actual hazardous exposure event. Safety (most severe realizable scenario).</t>
  </si>
  <si>
    <t xml:space="preserve">Combining upstream sensor/WiFi compromise, an attacker forces the display-driver logic to render a 'Good/Safe' status regardless of the true underlying gas concentrations.</t>
  </si>
  <si>
    <t xml:space="preserve">Exploitation requires a combination of prior upstream compromises culminating in local control over the display-driver logic on the IUC.</t>
  </si>
  <si>
    <t xml:space="preserve">Forcing a permanently 'Safe' display during an actual hazardous event is the single most severe realizable safety scenario in this system.</t>
  </si>
  <si>
    <t xml:space="preserve">Severe reputational/liability cost if traced to a known display-integrity gap following an injury.</t>
  </si>
  <si>
    <t xml:space="preserve">The only human-facing feedback mechanism is completely neutralized.</t>
  </si>
  <si>
    <t xml:space="preserve">Independent, cryptographically-attested path from raw sensor value to display (bypassing any single point of compromise), display-driver code integrity/attestation, periodic self-test with fail-safe 'unknown status' indication rather than defaulting to 'Safe'.</t>
  </si>
  <si>
    <t xml:space="preserve">IUC display-driver logic, Status Display.</t>
  </si>
  <si>
    <t xml:space="preserve">As the explicitly identified worst-case scenario, this warrants the highest-priority, defense-in-depth mitigation (independent attested display path plus fail-safe defaults).</t>
  </si>
  <si>
    <t xml:space="preserve">Ensure the Status Display can never indicate 'Safe' without a verified, tamper-free chain from the raw sensor reading.</t>
  </si>
  <si>
    <t xml:space="preserve">IUC display-driver firmware/logic</t>
  </si>
  <si>
    <t xml:space="preserve">Occupants trust a frozen, outdated 'safe' reading indefinitely, with no fail-safe indication the monitoring function has failed. Safety.</t>
  </si>
  <si>
    <t xml:space="preserve">Resource exhaustion or a crafted malformed sensor frame from any upstream compromised node crashes or hangs the IUC main loop, freezing the display on its last rendered frame.</t>
  </si>
  <si>
    <t xml:space="preserve">A malformed frame from any already-compromised upstream node (sensor, WiFi, LoRa) can reach and crash the IUC's local processing loop.</t>
  </si>
  <si>
    <t xml:space="preserve">An indefinitely frozen 'safe' display is functionally equivalent to a permanent false-safe indication, a severe safety risk.</t>
  </si>
  <si>
    <t xml:space="preserve">Liability exposure similar to ACT-01 if traced to this failure mode following an injury.</t>
  </si>
  <si>
    <t xml:space="preserve">The IUC's main processing/display loop is completely disabled.</t>
  </si>
  <si>
    <t xml:space="preserve">Robust input parsing/validation with fuzz-tested frame handling, watchdog timer forcing a visible fail-safe state (not last-good-frame) on hang/crash, rate-limiting of inbound frames.</t>
  </si>
  <si>
    <t xml:space="preserve">IUC main loop, display-driver firmware.</t>
  </si>
  <si>
    <t xml:space="preserve">A watchdog-triggered fail-safe display state directly closes the gap between 'crashed' and 'silently trusted as safe'.</t>
  </si>
  <si>
    <t xml:space="preserve">Ensure the Status Display fails visibly and safely rather than freezing on a stale 'safe' reading.</t>
  </si>
  <si>
    <t xml:space="preserve">Impact Criteria</t>
  </si>
  <si>
    <t xml:space="preserve">Weight</t>
  </si>
  <si>
    <t xml:space="preserve">Lower Limit</t>
  </si>
  <si>
    <t xml:space="preserve">Risk Level</t>
  </si>
  <si>
    <t xml:space="preserve">Impact Rating</t>
  </si>
  <si>
    <t xml:space="preserve">Threshold Value</t>
  </si>
  <si>
    <t xml:space="preserve">Safety</t>
  </si>
  <si>
    <t xml:space="preserve">Critical</t>
  </si>
  <si>
    <t xml:space="preserve">Operational</t>
  </si>
  <si>
    <t xml:space="preserve">High</t>
  </si>
  <si>
    <t xml:space="preserve">Financial</t>
  </si>
  <si>
    <t xml:space="preserve">Medium</t>
  </si>
  <si>
    <t xml:space="preserve">Privacy</t>
  </si>
  <si>
    <t xml:space="preserve">Low</t>
  </si>
  <si>
    <t xml:space="preserve">Very Low</t>
  </si>
  <si>
    <t xml:space="preserve">Safety =&gt;S</t>
  </si>
  <si>
    <t xml:space="preserve">Criteria for Safety Impact Rating</t>
  </si>
  <si>
    <t xml:space="preserve">Value</t>
  </si>
  <si>
    <t xml:space="preserve">S3: Life-threatening injuries (survival uncertain), fatal injuries</t>
  </si>
  <si>
    <t xml:space="preserve">Risk Assessment </t>
  </si>
  <si>
    <t xml:space="preserve">S2: Severe and life-threatening injuries (survival probable)</t>
  </si>
  <si>
    <t xml:space="preserve">Impact Rating:</t>
  </si>
  <si>
    <t xml:space="preserve">Impact Level=&gt;l</t>
  </si>
  <si>
    <t xml:space="preserve">S1: Light and moderate injuries</t>
  </si>
  <si>
    <t xml:space="preserve">(5*S + 1*O + 0.5*F + 0.25*P) / 4 </t>
  </si>
  <si>
    <t xml:space="preserve">S0: No injuries</t>
  </si>
  <si>
    <t xml:space="preserve">Risk Score:</t>
  </si>
  <si>
    <t xml:space="preserve">R = 1 + I×F</t>
  </si>
  <si>
    <t xml:space="preserve">Reputational =&gt; R</t>
  </si>
  <si>
    <t xml:space="preserve">Attack Feasibility Level  =&gt; F</t>
  </si>
  <si>
    <t xml:space="preserve">Criteria for Reputational Impact Rating</t>
  </si>
  <si>
    <t xml:space="preserve">Threat category (STRIDE)</t>
  </si>
  <si>
    <t xml:space="preserve">The reputational damage leads to catastrophic consequences which the affected road user might not overcome.</t>
  </si>
  <si>
    <t xml:space="preserve">Risk Score =&gt;R</t>
  </si>
  <si>
    <t xml:space="preserve">R = 1 + I × F </t>
  </si>
  <si>
    <t xml:space="preserve">The reputational damage leads to substantial consequences which the affected road user will be able to overcome</t>
  </si>
  <si>
    <t xml:space="preserve">Risk Appetite </t>
  </si>
  <si>
    <t xml:space="preserve">The reputational damage leads to inconvenient consequences which the affected road user will be able to overcome with limited resources</t>
  </si>
  <si>
    <t xml:space="preserve">RA Goal:</t>
  </si>
  <si>
    <t xml:space="preserve">Risk Reduction</t>
  </si>
  <si>
    <t xml:space="preserve">The reputational damage leads to no effect, negligible consequences or is irrelevant to the road user.</t>
  </si>
  <si>
    <t xml:space="preserve">Information Disclosure </t>
  </si>
  <si>
    <t xml:space="preserve">Denial of Service</t>
  </si>
  <si>
    <t xml:space="preserve">Elevation of Privileges</t>
  </si>
  <si>
    <t xml:space="preserve">Operational =&gt; O</t>
  </si>
  <si>
    <t xml:space="preserve">Criteria for Operational Impact Rating</t>
  </si>
  <si>
    <t xml:space="preserve">The operational damage leads to the loss or impairment of a core vehicle function. 
EXAMPLE 1 Vehicle not working or showing unexpected behaviour of core functions such as enabling of limp home mode or autonomous driving to an unintended location.</t>
  </si>
  <si>
    <t xml:space="preserve">The operational damage leads to the loss or impairment of an important vehicle function. 
EXAMPLE 2 Significant annoyance of the driver.</t>
  </si>
  <si>
    <t xml:space="preserve">The operational damage leads to partial degradation of a vehicle function. 
EXAMPLE 3 User satisfaction negatively affected.</t>
  </si>
  <si>
    <t xml:space="preserve">The operational damage leads to no impairment or non-perceivable impairment of a vehicle function.</t>
  </si>
  <si>
    <t xml:space="preserve">Privacy =&gt; P</t>
  </si>
  <si>
    <t xml:space="preserve">Criteria for Privacy Impact Rating</t>
  </si>
  <si>
    <t xml:space="preserve">The privacy damage leads to significant or even irreversible impact to the road user. The information regarding the road user is highly sensitive and easy to link to a PII principal.</t>
  </si>
  <si>
    <t xml:space="preserve">The privacy damage leads to serious impact to the road user. The information regarding the road user is: a) highly sensitive and difficult to link to a PII principal; or b) sensitive and easy to link to a PII principal.</t>
  </si>
  <si>
    <t xml:space="preserve">The privacy damage leads to inconvenient consequences to the road user. The information regarding the road user is: a) sensitive but difficult to link to a PII principal; or b) not sensitive but easy to link to a PII principal.</t>
  </si>
  <si>
    <t xml:space="preserve">The privacy damage leads to no effect or, negligible consequences or is irrelevant to the road user. The information regarding the road user is not sensitive and difficult to link to a PII principal.</t>
  </si>
  <si>
    <t xml:space="preserve"> </t>
  </si>
  <si>
    <t xml:space="preserve">Attack Feasibility Rating =&gt; F</t>
  </si>
  <si>
    <t xml:space="preserve">Attack Vector</t>
  </si>
  <si>
    <t xml:space="preserve">Description</t>
  </si>
  <si>
    <t xml:space="preserve">Level</t>
  </si>
  <si>
    <t xml:space="preserve">Potential attack path is bound to network stack without any limitation</t>
  </si>
  <si>
    <t xml:space="preserve">Potential attack path is bound to network stack; however, the connection is limited physically or logically.</t>
  </si>
  <si>
    <t xml:space="preserve">Potential attack path is not bound to network stack and threat agents require direct access to the item for realizing the attack path.</t>
  </si>
  <si>
    <t xml:space="preserve">Threat agents require physical access to realize the attack path.</t>
  </si>
  <si>
    <t xml:space="preserve">Very low</t>
  </si>
  <si>
    <t xml:space="preserve">Risk Treatment </t>
  </si>
  <si>
    <t xml:space="preserve">Method</t>
  </si>
  <si>
    <t xml:space="preserve">The level of risk shall be managed by introducing, removing or altering security controls so that the residual risk can be assessed as being acceptable. Mitigation would be implemented</t>
  </si>
  <si>
    <t xml:space="preserve">Risk Retention</t>
  </si>
  <si>
    <t xml:space="preserve">The decision on retaining the risk without further action shall be taken depending on risk evaluation.</t>
  </si>
  <si>
    <t xml:space="preserve">Risk Avoidance</t>
  </si>
  <si>
    <t xml:space="preserve">The activity or condition that gives rise to the particular risk shall be avoided.
EXAMPLE 1 Avoiding the risk by removing the risk sources, deciding not to start or continue with the
activity that gives rise to the risk.
</t>
  </si>
  <si>
    <t xml:space="preserve">Risk Transfer</t>
  </si>
  <si>
    <t xml:space="preserve">The risk shall be shared with another party that can most effectively manage the particular risk
depending on risk evaluation.
EXAMPLE 2 Sharing risk through contracts or transferring risk by buying insurance.</t>
  </si>
</sst>
</file>

<file path=xl/styles.xml><?xml version="1.0" encoding="utf-8"?>
<styleSheet xmlns="http://schemas.openxmlformats.org/spreadsheetml/2006/main">
  <numFmts count="3">
    <numFmt numFmtId="164" formatCode="General"/>
    <numFmt numFmtId="165" formatCode="General"/>
    <numFmt numFmtId="166" formatCode="0.00"/>
  </numFmts>
  <fonts count="21">
    <font>
      <sz val="10"/>
      <color rgb="FF000000"/>
      <name val="Arial"/>
      <family val="0"/>
      <charset val="1"/>
    </font>
    <font>
      <sz val="10"/>
      <name val="Arial"/>
      <family val="0"/>
    </font>
    <font>
      <sz val="10"/>
      <name val="Arial"/>
      <family val="0"/>
    </font>
    <font>
      <sz val="10"/>
      <name val="Arial"/>
      <family val="0"/>
    </font>
    <font>
      <b val="true"/>
      <i val="true"/>
      <sz val="10"/>
      <color rgb="FF000000"/>
      <name val="Verdana"/>
      <family val="2"/>
      <charset val="1"/>
    </font>
    <font>
      <b val="true"/>
      <i val="true"/>
      <sz val="10"/>
      <color theme="1"/>
      <name val="Verdana"/>
      <family val="2"/>
      <charset val="1"/>
    </font>
    <font>
      <b val="true"/>
      <sz val="10"/>
      <color theme="1"/>
      <name val="Arial"/>
      <family val="2"/>
      <charset val="1"/>
    </font>
    <font>
      <sz val="10"/>
      <color rgb="FF000000"/>
      <name val="Verdana"/>
      <family val="2"/>
      <charset val="1"/>
    </font>
    <font>
      <sz val="10"/>
      <color rgb="FF000000"/>
      <name val="Arial"/>
      <family val="2"/>
      <charset val="1"/>
    </font>
    <font>
      <sz val="10"/>
      <color theme="1"/>
      <name val="Arial"/>
      <family val="2"/>
      <charset val="1"/>
    </font>
    <font>
      <sz val="8"/>
      <color rgb="FF000000"/>
      <name val="Verdana"/>
      <family val="2"/>
      <charset val="1"/>
    </font>
    <font>
      <sz val="11"/>
      <color theme="1"/>
      <name val="Calibri"/>
      <family val="2"/>
      <charset val="1"/>
    </font>
    <font>
      <sz val="10"/>
      <color rgb="FF1F1F1F"/>
      <name val="Verdana"/>
      <family val="2"/>
      <charset val="1"/>
    </font>
    <font>
      <sz val="10"/>
      <color theme="1"/>
      <name val="Verdana"/>
      <family val="2"/>
      <charset val="1"/>
    </font>
    <font>
      <sz val="9"/>
      <color rgb="FF1F1F1F"/>
      <name val="&quot;Google Sans&quot;"/>
      <family val="0"/>
      <charset val="1"/>
    </font>
    <font>
      <sz val="10"/>
      <color rgb="FF000000"/>
      <name val="Söhne"/>
      <family val="0"/>
      <charset val="1"/>
    </font>
    <font>
      <sz val="11"/>
      <color rgb="FF000000"/>
      <name val="Calibri"/>
      <family val="2"/>
      <charset val="1"/>
    </font>
    <font>
      <b val="true"/>
      <sz val="11"/>
      <color theme="1"/>
      <name val="Calibri"/>
      <family val="2"/>
      <charset val="1"/>
    </font>
    <font>
      <b val="true"/>
      <sz val="11"/>
      <color theme="1"/>
      <name val="Arial"/>
      <family val="2"/>
      <charset val="1"/>
    </font>
    <font>
      <sz val="11"/>
      <color theme="1"/>
      <name val="Arial"/>
      <family val="2"/>
      <charset val="1"/>
    </font>
    <font>
      <sz val="12"/>
      <color theme="1"/>
      <name val="Arial"/>
      <family val="2"/>
      <charset val="1"/>
    </font>
  </fonts>
  <fills count="16">
    <fill>
      <patternFill patternType="none"/>
    </fill>
    <fill>
      <patternFill patternType="gray125"/>
    </fill>
    <fill>
      <patternFill patternType="solid">
        <fgColor rgb="FFC0C0C0"/>
        <bgColor rgb="FFB7B7B7"/>
      </patternFill>
    </fill>
    <fill>
      <patternFill patternType="solid">
        <fgColor rgb="FFFFE599"/>
        <bgColor rgb="FFFFFF99"/>
      </patternFill>
    </fill>
    <fill>
      <patternFill patternType="solid">
        <fgColor theme="6"/>
        <bgColor rgb="FFFF9900"/>
      </patternFill>
    </fill>
    <fill>
      <patternFill patternType="solid">
        <fgColor rgb="FFF7A1DA"/>
        <bgColor rgb="FFCC99FF"/>
      </patternFill>
    </fill>
    <fill>
      <patternFill patternType="solid">
        <fgColor rgb="FFFF0000"/>
        <bgColor rgb="FF993300"/>
      </patternFill>
    </fill>
    <fill>
      <patternFill patternType="solid">
        <fgColor rgb="FFFFFFFF"/>
        <bgColor rgb="FFFEFFFE"/>
      </patternFill>
    </fill>
    <fill>
      <patternFill patternType="solid">
        <fgColor rgb="FFB7E1CD"/>
        <bgColor rgb="FFD8D8D8"/>
      </patternFill>
    </fill>
    <fill>
      <patternFill patternType="solid">
        <fgColor rgb="FFB7B7B7"/>
        <bgColor rgb="FFC0C0C0"/>
      </patternFill>
    </fill>
    <fill>
      <patternFill patternType="solid">
        <fgColor rgb="FF92D050"/>
        <bgColor rgb="FFB7B7B7"/>
      </patternFill>
    </fill>
    <fill>
      <patternFill patternType="solid">
        <fgColor rgb="FFFF9900"/>
        <bgColor rgb="FFFBBC04"/>
      </patternFill>
    </fill>
    <fill>
      <patternFill patternType="solid">
        <fgColor rgb="FFD9D9D9"/>
        <bgColor rgb="FFD8D8D8"/>
      </patternFill>
    </fill>
    <fill>
      <patternFill patternType="solid">
        <fgColor rgb="FFA5A5A5"/>
        <bgColor rgb="FFB7B7B7"/>
      </patternFill>
    </fill>
    <fill>
      <patternFill patternType="solid">
        <fgColor rgb="FFFF7C80"/>
        <bgColor rgb="FFF7A1DA"/>
      </patternFill>
    </fill>
    <fill>
      <patternFill patternType="solid">
        <fgColor rgb="FFD8D8D8"/>
        <bgColor rgb="FFD9D9D9"/>
      </patternFill>
    </fill>
  </fills>
  <borders count="10">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right style="thin">
        <color rgb="FF808080"/>
      </right>
      <top style="thin">
        <color rgb="FF808080"/>
      </top>
      <bottom style="thin">
        <color rgb="FF808080"/>
      </bottom>
      <diagonal/>
    </border>
    <border diagonalUp="false" diagonalDown="false">
      <left style="thin"/>
      <right style="thin"/>
      <top style="thin"/>
      <bottom style="thin"/>
      <diagonal/>
    </border>
    <border diagonalUp="false" diagonalDown="false">
      <left/>
      <right style="thin">
        <color rgb="FF808080"/>
      </right>
      <top/>
      <bottom style="thin">
        <color rgb="FF808080"/>
      </bottom>
      <diagonal/>
    </border>
    <border diagonalUp="false" diagonalDown="false">
      <left style="thin">
        <color rgb="FF808080"/>
      </left>
      <right style="thin">
        <color rgb="FF808080"/>
      </right>
      <top/>
      <bottom style="thin">
        <color rgb="FF808080"/>
      </bottom>
      <diagonal/>
    </border>
    <border diagonalUp="false" diagonalDown="false">
      <left/>
      <right/>
      <top/>
      <bottom style="thin">
        <color rgb="FF808080"/>
      </bottom>
      <diagonal/>
    </border>
    <border diagonalUp="false" diagonalDown="false">
      <left/>
      <right style="thin">
        <color rgb="FF808080"/>
      </right>
      <top/>
      <bottom/>
      <diagonal/>
    </border>
    <border diagonalUp="false" diagonalDown="false">
      <left style="thin"/>
      <right style="thin"/>
      <top style="thin"/>
      <bottom/>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5" fillId="2" borderId="2" xfId="0" applyFont="true" applyBorder="true" applyAlignment="true" applyProtection="false">
      <alignment horizontal="center" vertical="bottom" textRotation="0" wrapText="true" indent="0" shrinkToFit="false"/>
      <protection locked="true" hidden="false"/>
    </xf>
    <xf numFmtId="164" fontId="5" fillId="2" borderId="2" xfId="0" applyFont="true" applyBorder="true" applyAlignment="true" applyProtection="false">
      <alignment horizontal="center" vertical="bottom" textRotation="0" wrapText="false" indent="0" shrinkToFit="false"/>
      <protection locked="true" hidden="false"/>
    </xf>
    <xf numFmtId="164" fontId="4" fillId="2" borderId="2" xfId="0" applyFont="true" applyBorder="true" applyAlignment="true" applyProtection="false">
      <alignment horizontal="center" vertical="center" textRotation="0" wrapText="false" indent="0" shrinkToFit="false"/>
      <protection locked="true" hidden="false"/>
    </xf>
    <xf numFmtId="164" fontId="4" fillId="2" borderId="2" xfId="0" applyFont="true" applyBorder="true" applyAlignment="true" applyProtection="false">
      <alignment horizontal="center" vertical="bottom" textRotation="0" wrapText="false" indent="0" shrinkToFit="false"/>
      <protection locked="true" hidden="false"/>
    </xf>
    <xf numFmtId="164" fontId="4" fillId="3" borderId="2"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center" textRotation="0" wrapText="fals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4" fontId="7" fillId="0" borderId="4" xfId="0" applyFont="true" applyBorder="true" applyAlignment="true" applyProtection="false">
      <alignment horizontal="general" vertical="bottom" textRotation="0" wrapText="true" indent="0" shrinkToFit="false"/>
      <protection locked="true" hidden="false"/>
    </xf>
    <xf numFmtId="164" fontId="7" fillId="0" borderId="4" xfId="0" applyFont="true" applyBorder="true" applyAlignment="true" applyProtection="false">
      <alignment horizontal="left"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4" borderId="4" xfId="0" applyFont="tru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false" applyProtection="false">
      <alignment horizontal="general" vertical="bottom" textRotation="0" wrapText="false" indent="0" shrinkToFit="false"/>
      <protection locked="true" hidden="false"/>
    </xf>
    <xf numFmtId="165" fontId="7" fillId="0" borderId="3" xfId="0" applyFont="true" applyBorder="true" applyAlignment="false" applyProtection="false">
      <alignment horizontal="general" vertical="bottom" textRotation="0" wrapText="false" indent="0" shrinkToFit="false"/>
      <protection locked="true" hidden="false"/>
    </xf>
    <xf numFmtId="165" fontId="7" fillId="4" borderId="3" xfId="0" applyFont="true" applyBorder="true" applyAlignment="false" applyProtection="false">
      <alignment horizontal="general" vertical="bottom" textRotation="0" wrapText="false" indent="0" shrinkToFit="false"/>
      <protection locked="true" hidden="false"/>
    </xf>
    <xf numFmtId="164" fontId="7" fillId="5" borderId="4" xfId="0" applyFont="true" applyBorder="true" applyAlignment="false" applyProtection="false">
      <alignment horizontal="general" vertical="bottom" textRotation="0" wrapText="false" indent="0" shrinkToFit="false"/>
      <protection locked="true" hidden="false"/>
    </xf>
    <xf numFmtId="165" fontId="7" fillId="5" borderId="3" xfId="0" applyFont="true" applyBorder="true" applyAlignment="false" applyProtection="false">
      <alignment horizontal="general" vertical="bottom" textRotation="0" wrapText="false" indent="0" shrinkToFit="false"/>
      <protection locked="true" hidden="false"/>
    </xf>
    <xf numFmtId="164" fontId="7" fillId="6" borderId="4" xfId="0" applyFont="true" applyBorder="true" applyAlignment="false" applyProtection="false">
      <alignment horizontal="general" vertical="bottom" textRotation="0" wrapText="false" indent="0" shrinkToFit="false"/>
      <protection locked="true" hidden="false"/>
    </xf>
    <xf numFmtId="165" fontId="7" fillId="6" borderId="3" xfId="0" applyFont="true" applyBorder="true" applyAlignment="false" applyProtection="false">
      <alignment horizontal="general" vertical="bottom" textRotation="0" wrapText="false" indent="0" shrinkToFit="false"/>
      <protection locked="true" hidden="false"/>
    </xf>
    <xf numFmtId="164" fontId="7" fillId="3" borderId="4"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7" fillId="0" borderId="4" xfId="0" applyFont="true" applyBorder="true" applyAlignment="true" applyProtection="false">
      <alignment horizontal="left" vertical="bottom" textRotation="0" wrapText="false" indent="0" shrinkToFit="false"/>
      <protection locked="true" hidden="false"/>
    </xf>
    <xf numFmtId="164" fontId="7" fillId="7" borderId="0" xfId="0" applyFont="true" applyBorder="false" applyAlignment="true" applyProtection="false">
      <alignment horizontal="left" vertical="bottom" textRotation="0" wrapText="false" indent="0" shrinkToFit="false"/>
      <protection locked="true" hidden="false"/>
    </xf>
    <xf numFmtId="164" fontId="7" fillId="0" borderId="6" xfId="0" applyFont="true" applyBorder="true" applyAlignment="false" applyProtection="false">
      <alignment horizontal="general" vertical="bottom" textRotation="0" wrapText="false" indent="0" shrinkToFit="false"/>
      <protection locked="true" hidden="false"/>
    </xf>
    <xf numFmtId="164" fontId="7" fillId="0" borderId="3"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12" fillId="7" borderId="3" xfId="0" applyFont="true" applyBorder="true" applyAlignment="false" applyProtection="false">
      <alignment horizontal="general" vertical="bottom" textRotation="0" wrapText="false" indent="0" shrinkToFit="false"/>
      <protection locked="true" hidden="false"/>
    </xf>
    <xf numFmtId="164" fontId="12" fillId="7"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7" fillId="0" borderId="7" xfId="0" applyFont="true" applyBorder="true" applyAlignment="false" applyProtection="false">
      <alignment horizontal="general" vertical="bottom" textRotation="0" wrapText="fals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15" fillId="7" borderId="0" xfId="0" applyFont="true" applyBorder="false" applyAlignment="true" applyProtection="false">
      <alignment horizontal="left" vertical="bottom" textRotation="0" wrapText="false" indent="0" shrinkToFit="false"/>
      <protection locked="true" hidden="false"/>
    </xf>
    <xf numFmtId="164" fontId="7" fillId="0" borderId="3" xfId="0" applyFont="true" applyBorder="true" applyAlignment="true" applyProtection="false">
      <alignment horizontal="general" vertical="bottom" textRotation="0" wrapText="true" indent="0" shrinkToFit="false"/>
      <protection locked="true" hidden="false"/>
    </xf>
    <xf numFmtId="164" fontId="12" fillId="7" borderId="0" xfId="0" applyFont="true" applyBorder="false" applyAlignment="true" applyProtection="false">
      <alignment horizontal="left" vertical="bottom" textRotation="0" wrapText="false" indent="0" shrinkToFit="false"/>
      <protection locked="true" hidden="false"/>
    </xf>
    <xf numFmtId="164" fontId="7" fillId="7" borderId="0" xfId="0" applyFont="true" applyBorder="false" applyAlignment="true" applyProtection="false">
      <alignment horizontal="left" vertical="bottom" textRotation="0" wrapText="true" indent="0" shrinkToFit="false"/>
      <protection locked="true" hidden="false"/>
    </xf>
    <xf numFmtId="164" fontId="7" fillId="0" borderId="5" xfId="0" applyFont="true" applyBorder="true" applyAlignment="false" applyProtection="false">
      <alignment horizontal="general" vertical="bottom" textRotation="0" wrapText="false" indent="0" shrinkToFit="false"/>
      <protection locked="true" hidden="false"/>
    </xf>
    <xf numFmtId="164" fontId="7" fillId="7" borderId="3" xfId="0" applyFont="true" applyBorder="true" applyAlignment="false" applyProtection="false">
      <alignment horizontal="general" vertical="bottom" textRotation="0" wrapText="false" indent="0" shrinkToFit="false"/>
      <protection locked="true" hidden="false"/>
    </xf>
    <xf numFmtId="164" fontId="7" fillId="7" borderId="3" xfId="0" applyFont="true" applyBorder="true" applyAlignment="true" applyProtection="false">
      <alignment horizontal="left" vertical="bottom" textRotation="0" wrapText="false" indent="0" shrinkToFit="false"/>
      <protection locked="true" hidden="false"/>
    </xf>
    <xf numFmtId="164" fontId="13" fillId="0" borderId="4" xfId="0" applyFont="true" applyBorder="true" applyAlignment="false" applyProtection="false">
      <alignment horizontal="general" vertical="bottom" textRotation="0" wrapText="false" indent="0" shrinkToFit="false"/>
      <protection locked="true" hidden="false"/>
    </xf>
    <xf numFmtId="164" fontId="16" fillId="7" borderId="0" xfId="0" applyFont="true" applyBorder="false" applyAlignment="true" applyProtection="false">
      <alignment horizontal="left" vertical="bottom"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3" xfId="0" applyFont="true" applyBorder="true" applyAlignment="false" applyProtection="false">
      <alignment horizontal="general" vertical="bottom" textRotation="0" wrapText="false" indent="0" shrinkToFit="false"/>
      <protection locked="true" hidden="false"/>
    </xf>
    <xf numFmtId="164" fontId="9" fillId="8"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6" fillId="9" borderId="3"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9" borderId="3" xfId="0" applyFont="true" applyBorder="true" applyAlignment="true" applyProtection="false">
      <alignment horizontal="general" vertical="bottom" textRotation="0" wrapText="true" indent="0" shrinkToFit="false"/>
      <protection locked="true" hidden="false"/>
    </xf>
    <xf numFmtId="164" fontId="9" fillId="0" borderId="3" xfId="0" applyFont="true" applyBorder="true" applyAlignment="true" applyProtection="false">
      <alignment horizontal="center" vertical="center" textRotation="0" wrapText="true" indent="0" shrinkToFit="false"/>
      <protection locked="true" hidden="false"/>
    </xf>
    <xf numFmtId="166" fontId="6" fillId="0" borderId="3"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6" fillId="0" borderId="3" xfId="0" applyFont="true" applyBorder="true" applyAlignment="true" applyProtection="false">
      <alignment horizontal="center" vertical="bottom"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9" fillId="0" borderId="3" xfId="0" applyFont="true" applyBorder="true" applyAlignment="true" applyProtection="false">
      <alignment horizontal="general" vertical="bottom" textRotation="0" wrapText="true" indent="0" shrinkToFit="false"/>
      <protection locked="true" hidden="false"/>
    </xf>
    <xf numFmtId="164" fontId="6" fillId="9" borderId="3" xfId="0" applyFont="true" applyBorder="true" applyAlignment="true" applyProtection="false">
      <alignment horizontal="center" vertical="center" textRotation="0" wrapText="true" indent="0" shrinkToFit="false"/>
      <protection locked="true" hidden="false"/>
    </xf>
    <xf numFmtId="166" fontId="9" fillId="0" borderId="3"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true" applyProtection="false">
      <alignment horizontal="general" vertical="bottom" textRotation="0" wrapText="true" indent="0" shrinkToFit="false"/>
      <protection locked="true" hidden="false"/>
    </xf>
    <xf numFmtId="164" fontId="11" fillId="10" borderId="3" xfId="0" applyFont="true" applyBorder="true" applyAlignment="false" applyProtection="false">
      <alignment horizontal="general" vertical="bottom" textRotation="0" wrapText="false" indent="0" shrinkToFit="false"/>
      <protection locked="true" hidden="false"/>
    </xf>
    <xf numFmtId="164" fontId="11" fillId="11" borderId="3" xfId="0" applyFont="true" applyBorder="true" applyAlignment="false" applyProtection="false">
      <alignment horizontal="general" vertical="bottom" textRotation="0" wrapText="false" indent="0" shrinkToFit="false"/>
      <protection locked="true" hidden="false"/>
    </xf>
    <xf numFmtId="164" fontId="17" fillId="12" borderId="3" xfId="0" applyFont="true" applyBorder="true" applyAlignment="false" applyProtection="false">
      <alignment horizontal="general" vertical="bottom" textRotation="0" wrapText="false" indent="0" shrinkToFit="false"/>
      <protection locked="true" hidden="false"/>
    </xf>
    <xf numFmtId="164" fontId="17" fillId="13" borderId="3" xfId="0" applyFont="true" applyBorder="true" applyAlignment="true" applyProtection="false">
      <alignment horizontal="center" vertical="center" textRotation="0" wrapText="false" indent="0" shrinkToFit="false"/>
      <protection locked="true" hidden="false"/>
    </xf>
    <xf numFmtId="164" fontId="11" fillId="14" borderId="3" xfId="0" applyFont="true" applyBorder="true" applyAlignment="false" applyProtection="false">
      <alignment horizontal="general" vertical="bottom" textRotation="0" wrapText="false" indent="0" shrinkToFit="false"/>
      <protection locked="true" hidden="false"/>
    </xf>
    <xf numFmtId="164" fontId="11" fillId="6" borderId="3" xfId="0" applyFont="true" applyBorder="true" applyAlignment="false" applyProtection="false">
      <alignment horizontal="general" vertical="bottom" textRotation="0" wrapText="false" indent="0" shrinkToFit="false"/>
      <protection locked="true" hidden="false"/>
    </xf>
    <xf numFmtId="164" fontId="17" fillId="13" borderId="3" xfId="0" applyFont="true" applyBorder="true" applyAlignment="true" applyProtection="false">
      <alignment horizontal="center" vertical="bottom" textRotation="0" wrapText="false" indent="0" shrinkToFit="false"/>
      <protection locked="true" hidden="false"/>
    </xf>
    <xf numFmtId="164" fontId="9" fillId="15" borderId="3" xfId="0" applyFont="true" applyBorder="true" applyAlignment="true" applyProtection="false">
      <alignment horizontal="center" vertical="center" textRotation="0" wrapText="true" indent="0" shrinkToFit="false"/>
      <protection locked="true" hidden="false"/>
    </xf>
    <xf numFmtId="164" fontId="18" fillId="0" borderId="3" xfId="0" applyFont="true" applyBorder="true" applyAlignment="true" applyProtection="false">
      <alignment horizontal="general" vertical="center" textRotation="0" wrapText="false" indent="0" shrinkToFit="false"/>
      <protection locked="true" hidden="false"/>
    </xf>
    <xf numFmtId="164" fontId="19" fillId="0" borderId="3" xfId="0" applyFont="true" applyBorder="true" applyAlignment="true" applyProtection="false">
      <alignment horizontal="left" vertical="center" textRotation="0" wrapText="false" indent="0" shrinkToFit="false"/>
      <protection locked="true" hidden="false"/>
    </xf>
    <xf numFmtId="164" fontId="11" fillId="0" borderId="3" xfId="0" applyFont="true" applyBorder="true" applyAlignment="true" applyProtection="false">
      <alignment horizontal="general" vertical="center" textRotation="0" wrapText="false" indent="0" shrinkToFit="false"/>
      <protection locked="true" hidden="false"/>
    </xf>
    <xf numFmtId="164" fontId="11" fillId="0" borderId="3" xfId="0" applyFont="true" applyBorder="true" applyAlignment="true" applyProtection="false">
      <alignment horizontal="left" vertical="center" textRotation="0" wrapText="false" indent="0" shrinkToFit="false"/>
      <protection locked="true" hidden="false"/>
    </xf>
    <xf numFmtId="164" fontId="9" fillId="0" borderId="3" xfId="0" applyFont="true" applyBorder="true" applyAlignment="true" applyProtection="false">
      <alignment horizontal="general" vertical="center" textRotation="0" wrapText="true" indent="0" shrinkToFit="false"/>
      <protection locked="true" hidden="false"/>
    </xf>
    <xf numFmtId="164" fontId="6" fillId="0" borderId="8" xfId="0" applyFont="true" applyBorder="true" applyAlignment="true" applyProtection="false">
      <alignment horizontal="general" vertical="bottom" textRotation="0" wrapText="tru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9" borderId="9" xfId="0" applyFont="true" applyBorder="true" applyAlignment="true" applyProtection="false">
      <alignment horizontal="center" vertical="bottom"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B7E1CD"/>
          <bgColor rgb="FF000000"/>
        </patternFill>
      </fill>
    </dxf>
    <dxf>
      <fill>
        <patternFill patternType="solid">
          <fgColor rgb="FFC0C0C0"/>
          <bgColor rgb="FF000000"/>
        </patternFill>
      </fill>
    </dxf>
    <dxf>
      <fill>
        <patternFill patternType="solid">
          <fgColor rgb="FFFEFFFE"/>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7A1DA"/>
          <bgColor rgb="FF000000"/>
        </patternFill>
      </fill>
    </dxf>
    <dxf>
      <fill>
        <patternFill patternType="solid">
          <fgColor rgb="FFFBBC04"/>
          <bgColor rgb="FF000000"/>
        </patternFill>
      </fill>
    </dxf>
    <dxf>
      <fill>
        <patternFill patternType="solid">
          <fgColor rgb="FFFF0000"/>
          <bgColor rgb="FF000000"/>
        </patternFill>
      </fill>
    </dxf>
    <dxf>
      <fill>
        <patternFill patternType="solid">
          <fgColor rgb="FFFFE599"/>
          <bgColor rgb="FF000000"/>
        </patternFill>
      </fill>
    </dxf>
    <dxf>
      <fill>
        <patternFill>
          <bgColor rgb="FFFEFFFE"/>
        </patternFill>
      </fill>
    </dxf>
    <dxf>
      <fill>
        <patternFill>
          <bgColor rgb="FFFFFFFF"/>
        </patternFill>
      </fill>
    </dxf>
    <dxf>
      <fill>
        <patternFill patternType="solid">
          <fgColor rgb="FFB7B7B7"/>
          <bgColor rgb="FF000000"/>
        </patternFill>
      </fill>
    </dxf>
    <dxf>
      <fill>
        <patternFill patternType="solid">
          <fgColor rgb="FFD8D8D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FFE"/>
      <rgbColor rgb="FFD9D9D9"/>
      <rgbColor rgb="FF660066"/>
      <rgbColor rgb="FFFF7C80"/>
      <rgbColor rgb="FF0066CC"/>
      <rgbColor rgb="FFD8D8D8"/>
      <rgbColor rgb="FF000080"/>
      <rgbColor rgb="FFFF00FF"/>
      <rgbColor rgb="FFFFFF00"/>
      <rgbColor rgb="FF00FFFF"/>
      <rgbColor rgb="FF800080"/>
      <rgbColor rgb="FF800000"/>
      <rgbColor rgb="FF008080"/>
      <rgbColor rgb="FF0000FF"/>
      <rgbColor rgb="FF00CCFF"/>
      <rgbColor rgb="FFCCFFFF"/>
      <rgbColor rgb="FFB7E1CD"/>
      <rgbColor rgb="FFFFFF99"/>
      <rgbColor rgb="FFB7B7B7"/>
      <rgbColor rgb="FFF7A1DA"/>
      <rgbColor rgb="FFCC99FF"/>
      <rgbColor rgb="FFFFE599"/>
      <rgbColor rgb="FF3366FF"/>
      <rgbColor rgb="FF33CCCC"/>
      <rgbColor rgb="FF92D050"/>
      <rgbColor rgb="FFFBBC04"/>
      <rgbColor rgb="FFFF9900"/>
      <rgbColor rgb="FFFF6600"/>
      <rgbColor rgb="FF666699"/>
      <rgbColor rgb="FFA5A5A5"/>
      <rgbColor rgb="FF003366"/>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e_1" displayName="Table_1" ref="A1:B5" headerRowCount="1" totalsRowCount="0" totalsRowShown="0">
  <tableColumns count="2">
    <tableColumn id="1" name="Impact Criteria"/>
    <tableColumn id="2" name="Weight"/>
  </tableColumns>
</table>
</file>

<file path=xl/tables/table2.xml><?xml version="1.0" encoding="utf-8"?>
<table xmlns="http://schemas.openxmlformats.org/spreadsheetml/2006/main" id="2" name="Table_10" displayName="Table_10" ref="A47:B51" headerRowCount="1" totalsRowCount="0" totalsRowShown="0">
  <tableColumns count="2">
    <tableColumn id="1" name="Method"/>
    <tableColumn id="2" name="Description"/>
  </tableColumns>
</table>
</file>

<file path=xl/tables/table3.xml><?xml version="1.0" encoding="utf-8"?>
<table xmlns="http://schemas.openxmlformats.org/spreadsheetml/2006/main" id="3" name="Table_2" displayName="Table_2" ref="D1:E6" headerRowCount="1" totalsRowCount="0" totalsRowShown="0">
  <tableColumns count="2">
    <tableColumn id="1" name="Lower Limit"/>
    <tableColumn id="2" name="Risk Level"/>
  </tableColumns>
</table>
</file>

<file path=xl/tables/table4.xml><?xml version="1.0" encoding="utf-8"?>
<table xmlns="http://schemas.openxmlformats.org/spreadsheetml/2006/main" id="4" name="Table_3" displayName="Table_3" ref="G1:H5" headerRowCount="1" totalsRowCount="0" totalsRowShown="0">
  <tableColumns count="2">
    <tableColumn id="1" name="Impact Rating"/>
    <tableColumn id="2" name="Threshold Value"/>
  </tableColumns>
</table>
</file>

<file path=xl/tables/table5.xml><?xml version="1.0" encoding="utf-8"?>
<table xmlns="http://schemas.openxmlformats.org/spreadsheetml/2006/main" id="5" name="Table_4" displayName="Table_4" ref="A8:C12" headerRowCount="1" totalsRowCount="0" totalsRowShown="0">
  <tableColumns count="3">
    <tableColumn id="1" name="Impact Rating"/>
    <tableColumn id="2" name="Criteria for Safety Impact Rating"/>
    <tableColumn id="3" name="Value"/>
  </tableColumns>
</table>
</file>

<file path=xl/tables/table6.xml><?xml version="1.0" encoding="utf-8"?>
<table xmlns="http://schemas.openxmlformats.org/spreadsheetml/2006/main" id="6" name="Table_5" displayName="Table_5" ref="A16:C20" headerRowCount="1" totalsRowCount="0" totalsRowShown="0">
  <tableColumns count="3">
    <tableColumn id="1" name="Impact Rating"/>
    <tableColumn id="2" name="Criteria for Reputational Impact Rating"/>
    <tableColumn id="3" name="Value"/>
  </tableColumns>
</table>
</file>

<file path=xl/tables/table7.xml><?xml version="1.0" encoding="utf-8"?>
<table xmlns="http://schemas.openxmlformats.org/spreadsheetml/2006/main" id="7" name="Table_6" displayName="Table_6" ref="E16:E22" headerRowCount="1" totalsRowCount="0" totalsRowShown="0">
  <tableColumns count="1">
    <tableColumn id="1" name="Threat category (STRIDE)"/>
  </tableColumns>
</table>
</file>

<file path=xl/tables/table8.xml><?xml version="1.0" encoding="utf-8"?>
<table xmlns="http://schemas.openxmlformats.org/spreadsheetml/2006/main" id="8" name="Table_7" displayName="Table_7" ref="A24:C28" headerRowCount="1" totalsRowCount="0" totalsRowShown="0">
  <tableColumns count="3">
    <tableColumn id="1" name="Impact Rating"/>
    <tableColumn id="2" name="Criteria for Operational Impact Rating"/>
    <tableColumn id="3" name="Value"/>
  </tableColumns>
</table>
</file>

<file path=xl/tables/table9.xml><?xml version="1.0" encoding="utf-8"?>
<table xmlns="http://schemas.openxmlformats.org/spreadsheetml/2006/main" id="9" name="Table_8" displayName="Table_8" ref="A32:C36" headerRowCount="1" totalsRowCount="0" totalsRowShown="0">
  <tableColumns count="3">
    <tableColumn id="1" name="Impact Rating"/>
    <tableColumn id="2" name="Criteria for Privacy Impact Rating"/>
    <tableColumn id="3" name="Value"/>
  </tableColumns>
</table>
</file>

<file path=xl/tables/table10.xml><?xml version="1.0" encoding="utf-8"?>
<table xmlns="http://schemas.openxmlformats.org/spreadsheetml/2006/main" id="10" name="Table_9" displayName="Table_9" ref="A40:D44" headerRowCount="1" totalsRowCount="0" totalsRowShown="0">
  <tableColumns count="4">
    <tableColumn id="1" name="Attack Vector"/>
    <tableColumn id="2" name="Description"/>
    <tableColumn id="3" name="Level"/>
    <tableColumn id="4" name="Value"/>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 Id="rId10" Type="http://schemas.openxmlformats.org/officeDocument/2006/relationships/table" Target="../tables/table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845"/>
  <sheetViews>
    <sheetView showFormulas="false" showGridLines="true" showRowColHeaders="true" showZeros="true" rightToLeft="false" tabSelected="true" showOutlineSymbols="true" defaultGridColor="true" view="normal" topLeftCell="A1" colorId="64" zoomScale="70" zoomScaleNormal="70" zoomScalePageLayoutView="80" workbookViewId="0">
      <selection pane="topLeft" activeCell="C115" activeCellId="0" sqref="C115"/>
    </sheetView>
  </sheetViews>
  <sheetFormatPr defaultColWidth="12.71484375" defaultRowHeight="15.75" zeroHeight="false" outlineLevelRow="0" outlineLevelCol="0"/>
  <cols>
    <col collapsed="false" customWidth="true" hidden="false" outlineLevel="0" max="1" min="1" style="0" width="24.14"/>
    <col collapsed="false" customWidth="true" hidden="false" outlineLevel="0" max="2" min="2" style="0" width="41.71"/>
    <col collapsed="false" customWidth="true" hidden="false" outlineLevel="0" max="3" min="3" style="0" width="17.29"/>
    <col collapsed="false" customWidth="true" hidden="false" outlineLevel="0" max="4" min="4" style="0" width="39.14"/>
    <col collapsed="false" customWidth="true" hidden="false" outlineLevel="0" max="5" min="5" style="0" width="44"/>
    <col collapsed="false" customWidth="true" hidden="false" outlineLevel="0" max="6" min="6" style="0" width="21"/>
    <col collapsed="false" customWidth="true" hidden="false" outlineLevel="0" max="7" min="7" style="0" width="40.14"/>
    <col collapsed="false" customWidth="true" hidden="false" outlineLevel="0" max="8" min="8" style="0" width="21.29"/>
    <col collapsed="false" customWidth="true" hidden="false" outlineLevel="0" max="9" min="9" style="0" width="57.42"/>
    <col collapsed="false" customWidth="true" hidden="false" outlineLevel="0" max="10" min="10" style="0" width="20.29"/>
    <col collapsed="false" customWidth="true" hidden="false" outlineLevel="0" max="11" min="11" style="0" width="33"/>
    <col collapsed="false" customWidth="true" hidden="false" outlineLevel="0" max="12" min="12" style="0" width="20.85"/>
    <col collapsed="false" customWidth="true" hidden="false" outlineLevel="0" max="13" min="13" style="0" width="21.29"/>
    <col collapsed="false" customWidth="true" hidden="false" outlineLevel="0" max="14" min="14" style="0" width="16.85"/>
    <col collapsed="false" customWidth="true" hidden="false" outlineLevel="0" max="15" min="15" style="0" width="42.71"/>
    <col collapsed="false" customWidth="true" hidden="false" outlineLevel="0" max="16" min="16" style="0" width="15.42"/>
    <col collapsed="false" customWidth="true" hidden="false" outlineLevel="0" max="17" min="17" style="0" width="22.29"/>
    <col collapsed="false" customWidth="true" hidden="false" outlineLevel="0" max="18" min="18" style="0" width="21.29"/>
    <col collapsed="false" customWidth="true" hidden="false" outlineLevel="0" max="19" min="19" style="0" width="21.43"/>
    <col collapsed="false" customWidth="true" hidden="false" outlineLevel="0" max="20" min="20" style="0" width="38.71"/>
    <col collapsed="false" customWidth="true" hidden="false" outlineLevel="0" max="21" min="21" style="0" width="22.42"/>
    <col collapsed="false" customWidth="true" hidden="false" outlineLevel="0" max="22" min="22" style="0" width="47.71"/>
    <col collapsed="false" customWidth="true" hidden="false" outlineLevel="0" max="23" min="23" style="0" width="35"/>
  </cols>
  <sheetData>
    <row r="1" customFormat="false" ht="32.25" hidden="false" customHeight="true" outlineLevel="0" collapsed="false">
      <c r="A1" s="1" t="s">
        <v>0</v>
      </c>
      <c r="B1" s="1" t="s">
        <v>1</v>
      </c>
      <c r="C1" s="2" t="s">
        <v>2</v>
      </c>
      <c r="D1" s="3" t="s">
        <v>3</v>
      </c>
      <c r="E1" s="4" t="s">
        <v>4</v>
      </c>
      <c r="F1" s="5" t="s">
        <v>5</v>
      </c>
      <c r="G1" s="5" t="s">
        <v>6</v>
      </c>
      <c r="H1" s="5" t="s">
        <v>7</v>
      </c>
      <c r="I1" s="5" t="s">
        <v>8</v>
      </c>
      <c r="J1" s="5" t="s">
        <v>9</v>
      </c>
      <c r="K1" s="5" t="s">
        <v>10</v>
      </c>
      <c r="L1" s="5" t="s">
        <v>11</v>
      </c>
      <c r="M1" s="5" t="s">
        <v>12</v>
      </c>
      <c r="N1" s="5" t="s">
        <v>13</v>
      </c>
      <c r="O1" s="5" t="s">
        <v>14</v>
      </c>
      <c r="P1" s="6" t="s">
        <v>15</v>
      </c>
      <c r="Q1" s="6" t="s">
        <v>16</v>
      </c>
      <c r="R1" s="6" t="s">
        <v>17</v>
      </c>
      <c r="S1" s="5" t="s">
        <v>18</v>
      </c>
      <c r="T1" s="5" t="s">
        <v>19</v>
      </c>
      <c r="U1" s="5" t="s">
        <v>20</v>
      </c>
      <c r="V1" s="5" t="s">
        <v>21</v>
      </c>
      <c r="W1" s="5" t="s">
        <v>22</v>
      </c>
      <c r="X1" s="7"/>
      <c r="Y1" s="8" t="s">
        <v>23</v>
      </c>
      <c r="Z1" s="8" t="s">
        <v>24</v>
      </c>
      <c r="AA1" s="8" t="s">
        <v>25</v>
      </c>
      <c r="AB1" s="8" t="s">
        <v>26</v>
      </c>
      <c r="AC1" s="8" t="s">
        <v>27</v>
      </c>
      <c r="AD1" s="8" t="s">
        <v>28</v>
      </c>
      <c r="AE1" s="8" t="s">
        <v>29</v>
      </c>
    </row>
    <row r="2" customFormat="false" ht="84" hidden="false" customHeight="true" outlineLevel="0" collapsed="false">
      <c r="A2" s="9" t="s">
        <v>30</v>
      </c>
      <c r="B2" s="10" t="s">
        <v>31</v>
      </c>
      <c r="C2" s="10" t="s">
        <v>32</v>
      </c>
      <c r="D2" s="11" t="s">
        <v>33</v>
      </c>
      <c r="E2" s="12" t="s">
        <v>34</v>
      </c>
      <c r="F2" s="10" t="s">
        <v>35</v>
      </c>
      <c r="G2" s="10" t="s">
        <v>36</v>
      </c>
      <c r="H2" s="10" t="s">
        <v>37</v>
      </c>
      <c r="I2" s="12" t="s">
        <v>38</v>
      </c>
      <c r="J2" s="10" t="s">
        <v>39</v>
      </c>
      <c r="K2" s="13" t="s">
        <v>40</v>
      </c>
      <c r="L2" s="10" t="s">
        <v>39</v>
      </c>
      <c r="M2" s="13" t="s">
        <v>41</v>
      </c>
      <c r="N2" s="10" t="s">
        <v>37</v>
      </c>
      <c r="O2" s="12" t="s">
        <v>42</v>
      </c>
      <c r="P2" s="14" t="str">
        <f aca="false">IF(AC2&gt;=Reference!$H$2, Reference!$G$2, IF(AC2&gt;=Reference!$H$3, Reference!$G$3, IF(AC2&gt;=Reference!$H$4, Reference!$G$4, IF(AC2&gt;=Reference!$H$5, Reference!$G$5, ""))))</f>
        <v>Moderate</v>
      </c>
      <c r="Q2" s="14" t="str">
        <f aca="false">IF(F2="Physical", "Very Low", IF(F2="Local", "Low", IF(F2="Adjacent", "Medium", IF(F2="Network", "High", ""))))</f>
        <v>High</v>
      </c>
      <c r="R2" s="14" t="str">
        <f aca="false">IF(AE2&gt;=Reference!$D$2, Reference!$G$2, IF(AE2&gt;=Reference!$D$3, Reference!$E$3, IF(AE2&gt;=Reference!$D$4, Reference!$E$4, IF(AE2&gt;=Reference!$D$5, Reference!$E$5, ""))))</f>
        <v>Medium</v>
      </c>
      <c r="S2" s="15" t="s">
        <v>43</v>
      </c>
      <c r="T2" s="12" t="s">
        <v>44</v>
      </c>
      <c r="U2" s="12" t="s">
        <v>45</v>
      </c>
      <c r="V2" s="12" t="s">
        <v>46</v>
      </c>
      <c r="W2" s="10"/>
      <c r="Y2" s="16" t="n">
        <f aca="false">IF(H2=Reference!$A$12, Reference!$C$12, IF(H2=Reference!$A$11, Reference!$C$11, IF(H2=Reference!$A$10, Reference!$C$10, IF(H2=Reference!$A$9, Reference!$C$9, 0))))</f>
        <v>1</v>
      </c>
      <c r="Z2" s="16" t="n">
        <f aca="false">IF(J2=Reference!$A$20, Reference!$C$20, IF(J2=Reference!$A$19, Reference!$C$19, IF(J2=Reference!$A$18, Reference!$C$18, IF(J2=Reference!$A$17, Reference!$C$17, 0))))</f>
        <v>4</v>
      </c>
      <c r="AA2" s="16" t="n">
        <f aca="false">IF(L2=Reference!$A$28, Reference!$C$28, IF(L2=Reference!$A$27, Reference!$C$27, IF(L2=Reference!$A$26, Reference!$C$26, IF(L2=Reference!$A$25, Reference!$C$25, 0))))</f>
        <v>4</v>
      </c>
      <c r="AB2" s="16" t="n">
        <f aca="false">IF(N2=Reference!$A$36, Reference!$C$36, IF(N2=Reference!$A$35, Reference!$C$35, IF(N2=Reference!$A$34, Reference!$C$34, IF(N2=Reference!$A$33, Reference!$C$33, 0))))</f>
        <v>1</v>
      </c>
      <c r="AC2" s="16" t="n">
        <f aca="false">(Reference!$B$2*Y2 + Reference!$B$3*AA2 + Reference!$B$4*Z2 + Reference!$B$5 * AB2)/4</f>
        <v>2.8125</v>
      </c>
      <c r="AD2" s="16" t="n">
        <f aca="false">IF(Q2=Reference!$C$41, Reference!$D$41, IF(Q2=Reference!$C$42, Reference!$D$42, IF(Q2=Reference!$C$43, Reference!$D$43, IF(Q2=Reference!$C$44, Reference!$D$44, 0))))</f>
        <v>10</v>
      </c>
      <c r="AE2" s="17" t="n">
        <f aca="false">1 + (AC2 * AD2)</f>
        <v>29.125</v>
      </c>
    </row>
    <row r="3" customFormat="false" ht="12.75" hidden="false" customHeight="true" outlineLevel="0" collapsed="false">
      <c r="A3" s="9" t="s">
        <v>47</v>
      </c>
      <c r="B3" s="10" t="s">
        <v>31</v>
      </c>
      <c r="C3" s="10" t="s">
        <v>32</v>
      </c>
      <c r="D3" s="11" t="s">
        <v>48</v>
      </c>
      <c r="E3" s="12" t="s">
        <v>49</v>
      </c>
      <c r="F3" s="10" t="s">
        <v>50</v>
      </c>
      <c r="G3" s="10" t="s">
        <v>51</v>
      </c>
      <c r="H3" s="10" t="s">
        <v>52</v>
      </c>
      <c r="I3" s="12" t="s">
        <v>53</v>
      </c>
      <c r="J3" s="10" t="s">
        <v>39</v>
      </c>
      <c r="K3" s="13" t="s">
        <v>54</v>
      </c>
      <c r="L3" s="10" t="s">
        <v>55</v>
      </c>
      <c r="M3" s="13" t="s">
        <v>56</v>
      </c>
      <c r="N3" s="10" t="s">
        <v>37</v>
      </c>
      <c r="O3" s="12" t="s">
        <v>57</v>
      </c>
      <c r="P3" s="18" t="str">
        <f aca="false">IF(AC3&gt;=Reference!$H$2, Reference!$G$2, IF(AC3&gt;=Reference!$H$3, Reference!$G$3, IF(AC3&gt;=Reference!$H$4, Reference!$G$4, IF(AC3&gt;=Reference!$H$5, Reference!$G$5, ""))))</f>
        <v>Severe</v>
      </c>
      <c r="Q3" s="18" t="str">
        <f aca="false">IF(F3="Physical", "Very Low", IF(F3="Local", "Low", IF(F3="Adjacent", "Medium", IF(F3="Network", "High", ""))))</f>
        <v>Very Low</v>
      </c>
      <c r="R3" s="18" t="str">
        <f aca="false">IF(AE3&gt;=Reference!$D$2, Reference!$G$2, IF(AE3&gt;=Reference!$D$3, Reference!$E$3, IF(AE3&gt;=Reference!$D$4, Reference!$E$4, IF(AE3&gt;=Reference!$D$5, Reference!$E$5, ""))))</f>
        <v>Low</v>
      </c>
      <c r="S3" s="15" t="s">
        <v>43</v>
      </c>
      <c r="T3" s="12" t="s">
        <v>58</v>
      </c>
      <c r="U3" s="12" t="s">
        <v>59</v>
      </c>
      <c r="V3" s="12" t="s">
        <v>60</v>
      </c>
      <c r="W3" s="10" t="s">
        <v>61</v>
      </c>
      <c r="Y3" s="16" t="n">
        <f aca="false">IF(H3=Reference!$A$12, Reference!$C$12, IF(H3=Reference!$A$11, Reference!$C$11, IF(H3=Reference!$A$10, Reference!$C$10, IF(H3=Reference!$A$9, Reference!$C$9, 0))))</f>
        <v>10</v>
      </c>
      <c r="Z3" s="16" t="n">
        <f aca="false">IF(J3=Reference!$A$20, Reference!$C$20, IF(J3=Reference!$A$19, Reference!$C$19, IF(J3=Reference!$A$18, Reference!$C$18, IF(J3=Reference!$A$17, Reference!$C$17, 0))))</f>
        <v>4</v>
      </c>
      <c r="AA3" s="16" t="n">
        <f aca="false">IF(L3=Reference!$A$28, Reference!$C$28, IF(L3=Reference!$A$27, Reference!$C$27, IF(L3=Reference!$A$26, Reference!$C$26, IF(L3=Reference!$A$25, Reference!$C$25, 0))))</f>
        <v>7</v>
      </c>
      <c r="AB3" s="16" t="n">
        <f aca="false">IF(N3=Reference!$A$36, Reference!$C$36, IF(N3=Reference!$A$35, Reference!$C$35, IF(N3=Reference!$A$34, Reference!$C$34, IF(N3=Reference!$A$33, Reference!$C$33, 0))))</f>
        <v>1</v>
      </c>
      <c r="AC3" s="16" t="n">
        <f aca="false">(Reference!$B$2*Y3 + Reference!$B$3*AA3 + Reference!$B$4*Z3 + Reference!$B$5 * AB3)/4</f>
        <v>14.8125</v>
      </c>
      <c r="AD3" s="16" t="n">
        <f aca="false">IF(Q3=Reference!$C$41, Reference!$D$41, IF(Q3=Reference!$C$42, Reference!$D$42, IF(Q3=Reference!$C$43, Reference!$D$43, IF(Q3=Reference!$C$44, Reference!$D$44, 0))))</f>
        <v>1</v>
      </c>
      <c r="AE3" s="19" t="n">
        <f aca="false">1 + (AC3 * AD3)</f>
        <v>15.8125</v>
      </c>
    </row>
    <row r="4" customFormat="false" ht="12.75" hidden="false" customHeight="true" outlineLevel="0" collapsed="false">
      <c r="A4" s="9" t="s">
        <v>62</v>
      </c>
      <c r="B4" s="10" t="s">
        <v>31</v>
      </c>
      <c r="C4" s="10" t="s">
        <v>32</v>
      </c>
      <c r="D4" s="11" t="s">
        <v>63</v>
      </c>
      <c r="E4" s="12" t="s">
        <v>64</v>
      </c>
      <c r="F4" s="10" t="s">
        <v>50</v>
      </c>
      <c r="G4" s="10" t="s">
        <v>65</v>
      </c>
      <c r="H4" s="10" t="s">
        <v>55</v>
      </c>
      <c r="I4" s="12" t="s">
        <v>66</v>
      </c>
      <c r="J4" s="10" t="s">
        <v>39</v>
      </c>
      <c r="K4" s="13" t="s">
        <v>67</v>
      </c>
      <c r="L4" s="10" t="s">
        <v>52</v>
      </c>
      <c r="M4" s="13" t="s">
        <v>68</v>
      </c>
      <c r="N4" s="10" t="s">
        <v>37</v>
      </c>
      <c r="O4" s="12" t="s">
        <v>69</v>
      </c>
      <c r="P4" s="20" t="str">
        <f aca="false">IF(AC4&gt;=Reference!$H$2, Reference!$G$2, IF(AC4&gt;=Reference!$H$3, Reference!$G$3, IF(AC4&gt;=Reference!$H$4, Reference!$G$4, IF(AC4&gt;=Reference!$H$5, Reference!$G$5, ""))))</f>
        <v>Severe</v>
      </c>
      <c r="Q4" s="20" t="str">
        <f aca="false">IF(F4="Physical", "Very Low", IF(F4="Local", "Low", IF(F4="Adjacent", "Medium", IF(F4="Network", "High", ""))))</f>
        <v>Very Low</v>
      </c>
      <c r="R4" s="20" t="str">
        <f aca="false">IF(AE4&gt;=Reference!$D$2, Reference!$G$2, IF(AE4&gt;=Reference!$D$3, Reference!$E$3, IF(AE4&gt;=Reference!$D$4, Reference!$E$4, IF(AE4&gt;=Reference!$D$5, Reference!$E$5, ""))))</f>
        <v>Low</v>
      </c>
      <c r="S4" s="15" t="s">
        <v>43</v>
      </c>
      <c r="T4" s="12" t="s">
        <v>70</v>
      </c>
      <c r="U4" s="12" t="s">
        <v>71</v>
      </c>
      <c r="V4" s="12" t="s">
        <v>72</v>
      </c>
      <c r="W4" s="10" t="s">
        <v>73</v>
      </c>
      <c r="Y4" s="16" t="n">
        <f aca="false">IF(H4=Reference!$A$12, Reference!$C$12, IF(H4=Reference!$A$11, Reference!$C$11, IF(H4=Reference!$A$10, Reference!$C$10, IF(H4=Reference!$A$9, Reference!$C$9, 0))))</f>
        <v>7</v>
      </c>
      <c r="Z4" s="16" t="n">
        <f aca="false">IF(J4=Reference!$A$20, Reference!$C$20, IF(J4=Reference!$A$19, Reference!$C$19, IF(J4=Reference!$A$18, Reference!$C$18, IF(J4=Reference!$A$17, Reference!$C$17, 0))))</f>
        <v>4</v>
      </c>
      <c r="AA4" s="16" t="n">
        <f aca="false">IF(L4=Reference!$A$28, Reference!$C$28, IF(L4=Reference!$A$27, Reference!$C$27, IF(L4=Reference!$A$26, Reference!$C$26, IF(L4=Reference!$A$25, Reference!$C$25, 0))))</f>
        <v>10</v>
      </c>
      <c r="AB4" s="16" t="n">
        <f aca="false">IF(N4=Reference!$A$36, Reference!$C$36, IF(N4=Reference!$A$35, Reference!$C$35, IF(N4=Reference!$A$34, Reference!$C$34, IF(N4=Reference!$A$33, Reference!$C$33, 0))))</f>
        <v>1</v>
      </c>
      <c r="AC4" s="16" t="n">
        <f aca="false">(Reference!$B$2*Y4 + Reference!$B$3*AA4 + Reference!$B$4*Z4 + Reference!$B$5 * AB4)/4</f>
        <v>11.8125</v>
      </c>
      <c r="AD4" s="16" t="n">
        <f aca="false">IF(Q4=Reference!$C$41, Reference!$D$41, IF(Q4=Reference!$C$42, Reference!$D$42, IF(Q4=Reference!$C$43, Reference!$D$43, IF(Q4=Reference!$C$44, Reference!$D$44, 0))))</f>
        <v>1</v>
      </c>
      <c r="AE4" s="21" t="n">
        <f aca="false">1 + (AC4 * AD4)</f>
        <v>12.8125</v>
      </c>
    </row>
    <row r="5" customFormat="false" ht="12.75" hidden="false" customHeight="true" outlineLevel="0" collapsed="false">
      <c r="A5" s="9" t="s">
        <v>74</v>
      </c>
      <c r="B5" s="10" t="s">
        <v>31</v>
      </c>
      <c r="C5" s="10" t="s">
        <v>32</v>
      </c>
      <c r="D5" s="11" t="s">
        <v>75</v>
      </c>
      <c r="E5" s="12" t="s">
        <v>76</v>
      </c>
      <c r="F5" s="10" t="s">
        <v>50</v>
      </c>
      <c r="G5" s="10" t="s">
        <v>77</v>
      </c>
      <c r="H5" s="10" t="s">
        <v>55</v>
      </c>
      <c r="I5" s="12" t="s">
        <v>78</v>
      </c>
      <c r="J5" s="10" t="s">
        <v>55</v>
      </c>
      <c r="K5" s="13" t="s">
        <v>79</v>
      </c>
      <c r="L5" s="10" t="s">
        <v>52</v>
      </c>
      <c r="M5" s="13" t="s">
        <v>80</v>
      </c>
      <c r="N5" s="10" t="s">
        <v>37</v>
      </c>
      <c r="O5" s="12" t="s">
        <v>81</v>
      </c>
      <c r="P5" s="22" t="str">
        <f aca="false">IF(AC5&gt;=Reference!$H$2, Reference!$G$2, IF(AC5&gt;=Reference!$H$3, Reference!$G$3, IF(AC5&gt;=Reference!$H$4, Reference!$G$4, IF(AC5&gt;=Reference!$H$5, Reference!$G$5, ""))))</f>
        <v>Severe</v>
      </c>
      <c r="Q5" s="22" t="str">
        <f aca="false">IF(F5="Physical", "Very Low", IF(F5="Local", "Low", IF(F5="Adjacent", "Medium", IF(F5="Network", "High", ""))))</f>
        <v>Very Low</v>
      </c>
      <c r="R5" s="22" t="str">
        <f aca="false">IF(AE5&gt;=Reference!$D$2, Reference!$G$2, IF(AE5&gt;=Reference!$D$3, Reference!$E$3, IF(AE5&gt;=Reference!$D$4, Reference!$E$4, IF(AE5&gt;=Reference!$D$5, Reference!$E$5, ""))))</f>
        <v>Low</v>
      </c>
      <c r="S5" s="15" t="s">
        <v>43</v>
      </c>
      <c r="T5" s="12" t="s">
        <v>82</v>
      </c>
      <c r="U5" s="12" t="s">
        <v>83</v>
      </c>
      <c r="V5" s="12" t="s">
        <v>84</v>
      </c>
      <c r="W5" s="10" t="s">
        <v>85</v>
      </c>
      <c r="Y5" s="16" t="n">
        <f aca="false">IF(H5=Reference!$A$12, Reference!$C$12, IF(H5=Reference!$A$11, Reference!$C$11, IF(H5=Reference!$A$10, Reference!$C$10, IF(H5=Reference!$A$9, Reference!$C$9, 0))))</f>
        <v>7</v>
      </c>
      <c r="Z5" s="16" t="n">
        <f aca="false">IF(J5=Reference!$A$20, Reference!$C$20, IF(J5=Reference!$A$19, Reference!$C$19, IF(J5=Reference!$A$18, Reference!$C$18, IF(J5=Reference!$A$17, Reference!$C$17, 0))))</f>
        <v>7</v>
      </c>
      <c r="AA5" s="16" t="n">
        <f aca="false">IF(L5=Reference!$A$28, Reference!$C$28, IF(L5=Reference!$A$27, Reference!$C$27, IF(L5=Reference!$A$26, Reference!$C$26, IF(L5=Reference!$A$25, Reference!$C$25, 0))))</f>
        <v>10</v>
      </c>
      <c r="AB5" s="16" t="n">
        <f aca="false">IF(N5=Reference!$A$36, Reference!$C$36, IF(N5=Reference!$A$35, Reference!$C$35, IF(N5=Reference!$A$34, Reference!$C$34, IF(N5=Reference!$A$33, Reference!$C$33, 0))))</f>
        <v>1</v>
      </c>
      <c r="AC5" s="16" t="n">
        <f aca="false">(Reference!$B$2*Y5 + Reference!$B$3*AA5 + Reference!$B$4*Z5 + Reference!$B$5 * AB5)/4</f>
        <v>12.1875</v>
      </c>
      <c r="AD5" s="16" t="n">
        <f aca="false">IF(Q5=Reference!$C$41, Reference!$D$41, IF(Q5=Reference!$C$42, Reference!$D$42, IF(Q5=Reference!$C$43, Reference!$D$43, IF(Q5=Reference!$C$44, Reference!$D$44, 0))))</f>
        <v>1</v>
      </c>
      <c r="AE5" s="16" t="n">
        <f aca="false">1 + (AC5 * AD5)</f>
        <v>13.1875</v>
      </c>
    </row>
    <row r="6" customFormat="false" ht="12.75" hidden="false" customHeight="true" outlineLevel="0" collapsed="false">
      <c r="A6" s="9" t="s">
        <v>86</v>
      </c>
      <c r="B6" s="10" t="s">
        <v>87</v>
      </c>
      <c r="C6" s="10" t="s">
        <v>32</v>
      </c>
      <c r="D6" s="11" t="s">
        <v>88</v>
      </c>
      <c r="E6" s="12" t="s">
        <v>89</v>
      </c>
      <c r="F6" s="10" t="s">
        <v>50</v>
      </c>
      <c r="G6" s="10" t="s">
        <v>90</v>
      </c>
      <c r="H6" s="10" t="s">
        <v>55</v>
      </c>
      <c r="I6" s="12" t="s">
        <v>91</v>
      </c>
      <c r="J6" s="10" t="s">
        <v>55</v>
      </c>
      <c r="K6" s="13" t="s">
        <v>92</v>
      </c>
      <c r="L6" s="10" t="s">
        <v>52</v>
      </c>
      <c r="M6" s="13" t="s">
        <v>93</v>
      </c>
      <c r="N6" s="10" t="s">
        <v>37</v>
      </c>
      <c r="O6" s="12" t="s">
        <v>94</v>
      </c>
      <c r="P6" s="22" t="str">
        <f aca="false">IF(AC6&gt;=Reference!$H$2, Reference!$G$2, IF(AC6&gt;=Reference!$H$3, Reference!$G$3, IF(AC6&gt;=Reference!$H$4, Reference!$G$4, IF(AC6&gt;=Reference!$H$5, Reference!$G$5, ""))))</f>
        <v>Severe</v>
      </c>
      <c r="Q6" s="22" t="str">
        <f aca="false">IF(F6="Physical", "Very Low", IF(F6="Local", "Low", IF(F6="Adjacent", "Medium", IF(F6="Network", "High", ""))))</f>
        <v>Very Low</v>
      </c>
      <c r="R6" s="22" t="str">
        <f aca="false">IF(AE6&gt;=Reference!$D$2, Reference!$G$2, IF(AE6&gt;=Reference!$D$3, Reference!$E$3, IF(AE6&gt;=Reference!$D$4, Reference!$E$4, IF(AE6&gt;=Reference!$D$5, Reference!$E$5, ""))))</f>
        <v>Low</v>
      </c>
      <c r="S6" s="15" t="s">
        <v>43</v>
      </c>
      <c r="T6" s="12" t="s">
        <v>95</v>
      </c>
      <c r="U6" s="12" t="s">
        <v>96</v>
      </c>
      <c r="V6" s="12" t="s">
        <v>97</v>
      </c>
      <c r="W6" s="10" t="s">
        <v>98</v>
      </c>
      <c r="Y6" s="16" t="n">
        <f aca="false">IF(H6=Reference!$A$12, Reference!$C$12, IF(H6=Reference!$A$11, Reference!$C$11, IF(H6=Reference!$A$10, Reference!$C$10, IF(H6=Reference!$A$9, Reference!$C$9, 0))))</f>
        <v>7</v>
      </c>
      <c r="Z6" s="16" t="n">
        <f aca="false">IF(J6=Reference!$A$20, Reference!$C$20, IF(J6=Reference!$A$19, Reference!$C$19, IF(J6=Reference!$A$18, Reference!$C$18, IF(J6=Reference!$A$17, Reference!$C$17, 0))))</f>
        <v>7</v>
      </c>
      <c r="AA6" s="16" t="n">
        <f aca="false">IF(L6=Reference!$A$28, Reference!$C$28, IF(L6=Reference!$A$27, Reference!$C$27, IF(L6=Reference!$A$26, Reference!$C$26, IF(L6=Reference!$A$25, Reference!$C$25, 0))))</f>
        <v>10</v>
      </c>
      <c r="AB6" s="16" t="n">
        <f aca="false">IF(N6=Reference!$A$36, Reference!$C$36, IF(N6=Reference!$A$35, Reference!$C$35, IF(N6=Reference!$A$34, Reference!$C$34, IF(N6=Reference!$A$33, Reference!$C$33, 0))))</f>
        <v>1</v>
      </c>
      <c r="AC6" s="16" t="n">
        <f aca="false">(Reference!$B$2*Y6 + Reference!$B$3*AA6 + Reference!$B$4*Z6 + Reference!$B$5 * AB6)/4</f>
        <v>12.1875</v>
      </c>
      <c r="AD6" s="16" t="n">
        <f aca="false">IF(Q6=Reference!$C$41, Reference!$D$41, IF(Q6=Reference!$C$42, Reference!$D$42, IF(Q6=Reference!$C$43, Reference!$D$43, IF(Q6=Reference!$C$44, Reference!$D$44, 0))))</f>
        <v>1</v>
      </c>
      <c r="AE6" s="16" t="n">
        <f aca="false">1 + (AC6 * AD6)</f>
        <v>13.1875</v>
      </c>
    </row>
    <row r="7" customFormat="false" ht="12.75" hidden="false" customHeight="true" outlineLevel="0" collapsed="false">
      <c r="A7" s="9" t="s">
        <v>99</v>
      </c>
      <c r="B7" s="10" t="s">
        <v>100</v>
      </c>
      <c r="C7" s="10" t="s">
        <v>101</v>
      </c>
      <c r="D7" s="11" t="s">
        <v>102</v>
      </c>
      <c r="E7" s="12" t="s">
        <v>103</v>
      </c>
      <c r="F7" s="10" t="s">
        <v>50</v>
      </c>
      <c r="G7" s="10" t="s">
        <v>104</v>
      </c>
      <c r="H7" s="10" t="s">
        <v>55</v>
      </c>
      <c r="I7" s="12" t="s">
        <v>105</v>
      </c>
      <c r="J7" s="10" t="s">
        <v>39</v>
      </c>
      <c r="K7" s="13" t="s">
        <v>106</v>
      </c>
      <c r="L7" s="10" t="s">
        <v>55</v>
      </c>
      <c r="M7" s="13" t="s">
        <v>107</v>
      </c>
      <c r="N7" s="10" t="s">
        <v>37</v>
      </c>
      <c r="O7" s="12" t="s">
        <v>69</v>
      </c>
      <c r="P7" s="22" t="str">
        <f aca="false">IF(AC7&gt;=Reference!$H$2, Reference!$G$2, IF(AC7&gt;=Reference!$H$3, Reference!$G$3, IF(AC7&gt;=Reference!$H$4, Reference!$G$4, IF(AC7&gt;=Reference!$H$5, Reference!$G$5, ""))))</f>
        <v>Severe</v>
      </c>
      <c r="Q7" s="22" t="str">
        <f aca="false">IF(F7="Physical", "Very Low", IF(F7="Local", "Low", IF(F7="Adjacent", "Medium", IF(F7="Network", "High", ""))))</f>
        <v>Very Low</v>
      </c>
      <c r="R7" s="22" t="str">
        <f aca="false">IF(AE7&gt;=Reference!$D$2, Reference!$G$2, IF(AE7&gt;=Reference!$D$3, Reference!$E$3, IF(AE7&gt;=Reference!$D$4, Reference!$E$4, IF(AE7&gt;=Reference!$D$5, Reference!$E$5, ""))))</f>
        <v>Low</v>
      </c>
      <c r="S7" s="15" t="s">
        <v>43</v>
      </c>
      <c r="T7" s="12" t="s">
        <v>108</v>
      </c>
      <c r="U7" s="12" t="s">
        <v>109</v>
      </c>
      <c r="V7" s="12" t="s">
        <v>110</v>
      </c>
      <c r="W7" s="10" t="s">
        <v>111</v>
      </c>
      <c r="Y7" s="16" t="n">
        <f aca="false">IF(H7=Reference!$A$12, Reference!$C$12, IF(H7=Reference!$A$11, Reference!$C$11, IF(H7=Reference!$A$10, Reference!$C$10, IF(H7=Reference!$A$9, Reference!$C$9, 0))))</f>
        <v>7</v>
      </c>
      <c r="Z7" s="16" t="n">
        <f aca="false">IF(J7=Reference!$A$20, Reference!$C$20, IF(J7=Reference!$A$19, Reference!$C$19, IF(J7=Reference!$A$18, Reference!$C$18, IF(J7=Reference!$A$17, Reference!$C$17, 0))))</f>
        <v>4</v>
      </c>
      <c r="AA7" s="16" t="n">
        <f aca="false">IF(L7=Reference!$A$28, Reference!$C$28, IF(L7=Reference!$A$27, Reference!$C$27, IF(L7=Reference!$A$26, Reference!$C$26, IF(L7=Reference!$A$25, Reference!$C$25, 0))))</f>
        <v>7</v>
      </c>
      <c r="AB7" s="16" t="n">
        <f aca="false">IF(N7=Reference!$A$36, Reference!$C$36, IF(N7=Reference!$A$35, Reference!$C$35, IF(N7=Reference!$A$34, Reference!$C$34, IF(N7=Reference!$A$33, Reference!$C$33, 0))))</f>
        <v>1</v>
      </c>
      <c r="AC7" s="16" t="n">
        <f aca="false">(Reference!$B$2*Y7 + Reference!$B$3*AA7 + Reference!$B$4*Z7 + Reference!$B$5 * AB7)/4</f>
        <v>11.0625</v>
      </c>
      <c r="AD7" s="16" t="n">
        <f aca="false">IF(Q7=Reference!$C$41, Reference!$D$41, IF(Q7=Reference!$C$42, Reference!$D$42, IF(Q7=Reference!$C$43, Reference!$D$43, IF(Q7=Reference!$C$44, Reference!$D$44, 0))))</f>
        <v>1</v>
      </c>
      <c r="AE7" s="16" t="n">
        <f aca="false">1 + (AC7 * AD7)</f>
        <v>12.0625</v>
      </c>
    </row>
    <row r="8" customFormat="false" ht="12.75" hidden="false" customHeight="true" outlineLevel="0" collapsed="false">
      <c r="A8" s="9" t="s">
        <v>112</v>
      </c>
      <c r="B8" s="10" t="s">
        <v>113</v>
      </c>
      <c r="C8" s="10" t="s">
        <v>32</v>
      </c>
      <c r="D8" s="11" t="s">
        <v>114</v>
      </c>
      <c r="E8" s="12" t="s">
        <v>115</v>
      </c>
      <c r="F8" s="10" t="s">
        <v>116</v>
      </c>
      <c r="G8" s="10" t="s">
        <v>117</v>
      </c>
      <c r="H8" s="10" t="s">
        <v>37</v>
      </c>
      <c r="I8" s="12" t="s">
        <v>118</v>
      </c>
      <c r="J8" s="10" t="s">
        <v>55</v>
      </c>
      <c r="K8" s="13" t="s">
        <v>119</v>
      </c>
      <c r="L8" s="10" t="s">
        <v>39</v>
      </c>
      <c r="M8" s="13" t="s">
        <v>120</v>
      </c>
      <c r="N8" s="10" t="s">
        <v>37</v>
      </c>
      <c r="O8" s="12" t="s">
        <v>121</v>
      </c>
      <c r="P8" s="22" t="str">
        <f aca="false">IF(AC8&gt;=Reference!$H$2, Reference!$G$2, IF(AC8&gt;=Reference!$H$3, Reference!$G$3, IF(AC8&gt;=Reference!$H$4, Reference!$G$4, IF(AC8&gt;=Reference!$H$5, Reference!$G$5, ""))))</f>
        <v>Moderate</v>
      </c>
      <c r="Q8" s="22" t="str">
        <f aca="false">IF(F8="Physical", "Very Low", IF(F8="Local", "Low", IF(F8="Adjacent", "Medium", IF(F8="Network", "High", ""))))</f>
        <v>Low</v>
      </c>
      <c r="R8" s="22" t="str">
        <f aca="false">IF(AE8&gt;=Reference!$D$2, Reference!$G$2, IF(AE8&gt;=Reference!$D$3, Reference!$E$3, IF(AE8&gt;=Reference!$D$4, Reference!$E$4, IF(AE8&gt;=Reference!$D$5, Reference!$E$5, ""))))</f>
        <v>Low</v>
      </c>
      <c r="S8" s="15" t="s">
        <v>43</v>
      </c>
      <c r="T8" s="12" t="s">
        <v>122</v>
      </c>
      <c r="U8" s="12" t="s">
        <v>123</v>
      </c>
      <c r="V8" s="12" t="s">
        <v>124</v>
      </c>
      <c r="W8" s="10" t="s">
        <v>125</v>
      </c>
      <c r="Y8" s="16" t="n">
        <f aca="false">IF(H8=Reference!$A$12, Reference!$C$12, IF(H8=Reference!$A$11, Reference!$C$11, IF(H8=Reference!$A$10, Reference!$C$10, IF(H8=Reference!$A$9, Reference!$C$9, 0))))</f>
        <v>1</v>
      </c>
      <c r="Z8" s="16" t="n">
        <f aca="false">IF(J8=Reference!$A$20, Reference!$C$20, IF(J8=Reference!$A$19, Reference!$C$19, IF(J8=Reference!$A$18, Reference!$C$18, IF(J8=Reference!$A$17, Reference!$C$17, 0))))</f>
        <v>7</v>
      </c>
      <c r="AA8" s="16" t="n">
        <f aca="false">IF(L8=Reference!$A$28, Reference!$C$28, IF(L8=Reference!$A$27, Reference!$C$27, IF(L8=Reference!$A$26, Reference!$C$26, IF(L8=Reference!$A$25, Reference!$C$25, 0))))</f>
        <v>4</v>
      </c>
      <c r="AB8" s="16" t="n">
        <f aca="false">IF(N8=Reference!$A$36, Reference!$C$36, IF(N8=Reference!$A$35, Reference!$C$35, IF(N8=Reference!$A$34, Reference!$C$34, IF(N8=Reference!$A$33, Reference!$C$33, 0))))</f>
        <v>1</v>
      </c>
      <c r="AC8" s="16" t="n">
        <f aca="false">(Reference!$B$2*Y8 + Reference!$B$3*AA8 + Reference!$B$4*Z8 + Reference!$B$5 * AB8)/4</f>
        <v>3.1875</v>
      </c>
      <c r="AD8" s="16" t="n">
        <f aca="false">IF(Q8=Reference!$C$41, Reference!$D$41, IF(Q8=Reference!$C$42, Reference!$D$42, IF(Q8=Reference!$C$43, Reference!$D$43, IF(Q8=Reference!$C$44, Reference!$D$44, 0))))</f>
        <v>4</v>
      </c>
      <c r="AE8" s="16" t="n">
        <f aca="false">1 + (AC8 * AD8)</f>
        <v>13.75</v>
      </c>
    </row>
    <row r="9" customFormat="false" ht="12.75" hidden="false" customHeight="true" outlineLevel="0" collapsed="false">
      <c r="A9" s="9" t="s">
        <v>126</v>
      </c>
      <c r="B9" s="10" t="s">
        <v>127</v>
      </c>
      <c r="C9" s="10" t="s">
        <v>32</v>
      </c>
      <c r="D9" s="11" t="s">
        <v>128</v>
      </c>
      <c r="E9" s="12" t="s">
        <v>129</v>
      </c>
      <c r="F9" s="10" t="s">
        <v>130</v>
      </c>
      <c r="G9" s="10" t="s">
        <v>131</v>
      </c>
      <c r="H9" s="10" t="s">
        <v>55</v>
      </c>
      <c r="I9" s="12" t="s">
        <v>132</v>
      </c>
      <c r="J9" s="10" t="s">
        <v>39</v>
      </c>
      <c r="K9" s="13" t="s">
        <v>133</v>
      </c>
      <c r="L9" s="10" t="s">
        <v>55</v>
      </c>
      <c r="M9" s="13" t="s">
        <v>134</v>
      </c>
      <c r="N9" s="10" t="s">
        <v>39</v>
      </c>
      <c r="O9" s="12" t="s">
        <v>135</v>
      </c>
      <c r="P9" s="22" t="str">
        <f aca="false">IF(AC9&gt;=Reference!$H$2, Reference!$G$2, IF(AC9&gt;=Reference!$H$3, Reference!$G$3, IF(AC9&gt;=Reference!$H$4, Reference!$G$4, IF(AC9&gt;=Reference!$H$5, Reference!$G$5, ""))))</f>
        <v>Severe</v>
      </c>
      <c r="Q9" s="22" t="str">
        <f aca="false">IF(F9="Physical", "Very Low", IF(F9="Local", "Low", IF(F9="Adjacent", "Medium", IF(F9="Network", "High", ""))))</f>
        <v>Medium</v>
      </c>
      <c r="R9" s="22" t="str">
        <f aca="false">IF(AE9&gt;=Reference!$D$2, Reference!$G$2, IF(AE9&gt;=Reference!$D$3, Reference!$E$3, IF(AE9&gt;=Reference!$D$4, Reference!$E$4, IF(AE9&gt;=Reference!$D$5, Reference!$E$5, ""))))</f>
        <v>High</v>
      </c>
      <c r="S9" s="15" t="s">
        <v>43</v>
      </c>
      <c r="T9" s="12" t="s">
        <v>136</v>
      </c>
      <c r="U9" s="12" t="s">
        <v>137</v>
      </c>
      <c r="V9" s="12" t="s">
        <v>138</v>
      </c>
      <c r="W9" s="10" t="s">
        <v>139</v>
      </c>
      <c r="Y9" s="16" t="n">
        <f aca="false">IF(H9=Reference!$A$12, Reference!$C$12, IF(H9=Reference!$A$11, Reference!$C$11, IF(H9=Reference!$A$10, Reference!$C$10, IF(H9=Reference!$A$9, Reference!$C$9, 0))))</f>
        <v>7</v>
      </c>
      <c r="Z9" s="16" t="n">
        <f aca="false">IF(J9=Reference!$A$20, Reference!$C$20, IF(J9=Reference!$A$19, Reference!$C$19, IF(J9=Reference!$A$18, Reference!$C$18, IF(J9=Reference!$A$17, Reference!$C$17, 0))))</f>
        <v>4</v>
      </c>
      <c r="AA9" s="16" t="n">
        <f aca="false">IF(L9=Reference!$A$28, Reference!$C$28, IF(L9=Reference!$A$27, Reference!$C$27, IF(L9=Reference!$A$26, Reference!$C$26, IF(L9=Reference!$A$25, Reference!$C$25, 0))))</f>
        <v>7</v>
      </c>
      <c r="AB9" s="16" t="n">
        <f aca="false">IF(N9=Reference!$A$36, Reference!$C$36, IF(N9=Reference!$A$35, Reference!$C$35, IF(N9=Reference!$A$34, Reference!$C$34, IF(N9=Reference!$A$33, Reference!$C$33, 0))))</f>
        <v>4</v>
      </c>
      <c r="AC9" s="16" t="n">
        <f aca="false">(Reference!$B$2*Y9 + Reference!$B$3*AA9 + Reference!$B$4*Z9 + Reference!$B$5 * AB9)/4</f>
        <v>11.25</v>
      </c>
      <c r="AD9" s="16" t="n">
        <f aca="false">IF(Q9=Reference!$C$41, Reference!$D$41, IF(Q9=Reference!$C$42, Reference!$D$42, IF(Q9=Reference!$C$43, Reference!$D$43, IF(Q9=Reference!$C$44, Reference!$D$44, 0))))</f>
        <v>7</v>
      </c>
      <c r="AE9" s="16" t="n">
        <f aca="false">1 + (AC9 * AD9)</f>
        <v>79.75</v>
      </c>
    </row>
    <row r="10" customFormat="false" ht="12.75" hidden="false" customHeight="true" outlineLevel="0" collapsed="false">
      <c r="A10" s="9" t="s">
        <v>140</v>
      </c>
      <c r="B10" s="10" t="s">
        <v>31</v>
      </c>
      <c r="C10" s="10" t="s">
        <v>32</v>
      </c>
      <c r="D10" s="11" t="s">
        <v>141</v>
      </c>
      <c r="E10" s="12" t="s">
        <v>142</v>
      </c>
      <c r="F10" s="10" t="s">
        <v>130</v>
      </c>
      <c r="G10" s="10" t="s">
        <v>143</v>
      </c>
      <c r="H10" s="10" t="s">
        <v>52</v>
      </c>
      <c r="I10" s="12" t="s">
        <v>144</v>
      </c>
      <c r="J10" s="10" t="s">
        <v>39</v>
      </c>
      <c r="K10" s="13" t="s">
        <v>145</v>
      </c>
      <c r="L10" s="10" t="s">
        <v>55</v>
      </c>
      <c r="M10" s="13" t="s">
        <v>146</v>
      </c>
      <c r="N10" s="10" t="s">
        <v>37</v>
      </c>
      <c r="O10" s="12" t="s">
        <v>147</v>
      </c>
      <c r="P10" s="22" t="str">
        <f aca="false">IF(AC10&gt;=Reference!$H$2, Reference!$G$2, IF(AC10&gt;=Reference!$H$3, Reference!$G$3, IF(AC10&gt;=Reference!$H$4, Reference!$G$4, IF(AC10&gt;=Reference!$H$5, Reference!$G$5, ""))))</f>
        <v>Severe</v>
      </c>
      <c r="Q10" s="22" t="str">
        <f aca="false">IF(F10="Physical", "Very Low", IF(F10="Local", "Low", IF(F10="Adjacent", "Medium", IF(F10="Network", "High", ""))))</f>
        <v>Medium</v>
      </c>
      <c r="R10" s="22" t="str">
        <f aca="false">IF(AE10&gt;=Reference!$D$2, Reference!$G$2, IF(AE10&gt;=Reference!$D$3, Reference!$E$3, IF(AE10&gt;=Reference!$D$4, Reference!$E$4, IF(AE10&gt;=Reference!$D$5, Reference!$E$5, ""))))</f>
        <v>Severe</v>
      </c>
      <c r="S10" s="15" t="s">
        <v>43</v>
      </c>
      <c r="T10" s="12" t="s">
        <v>148</v>
      </c>
      <c r="U10" s="12" t="s">
        <v>149</v>
      </c>
      <c r="V10" s="12" t="s">
        <v>150</v>
      </c>
      <c r="W10" s="10" t="s">
        <v>151</v>
      </c>
      <c r="X10" s="23"/>
      <c r="Y10" s="16" t="n">
        <f aca="false">IF(H10=Reference!$A$12, Reference!$C$12, IF(H10=Reference!$A$11, Reference!$C$11, IF(H10=Reference!$A$10, Reference!$C$10, IF(H10=Reference!$A$9, Reference!$C$9, 0))))</f>
        <v>10</v>
      </c>
      <c r="Z10" s="16" t="n">
        <f aca="false">IF(J10=Reference!$A$20, Reference!$C$20, IF(J10=Reference!$A$19, Reference!$C$19, IF(J10=Reference!$A$18, Reference!$C$18, IF(J10=Reference!$A$17, Reference!$C$17, 0))))</f>
        <v>4</v>
      </c>
      <c r="AA10" s="16" t="n">
        <f aca="false">IF(L10=Reference!$A$28, Reference!$C$28, IF(L10=Reference!$A$27, Reference!$C$27, IF(L10=Reference!$A$26, Reference!$C$26, IF(L10=Reference!$A$25, Reference!$C$25, 0))))</f>
        <v>7</v>
      </c>
      <c r="AB10" s="16" t="n">
        <f aca="false">IF(N10=Reference!$A$36, Reference!$C$36, IF(N10=Reference!$A$35, Reference!$C$35, IF(N10=Reference!$A$34, Reference!$C$34, IF(N10=Reference!$A$33, Reference!$C$33, 0))))</f>
        <v>1</v>
      </c>
      <c r="AC10" s="16" t="n">
        <f aca="false">(Reference!$B$2*Y10 + Reference!$B$3*AA10 + Reference!$B$4*Z10 + Reference!$B$5 * AB10)/4</f>
        <v>14.8125</v>
      </c>
      <c r="AD10" s="16" t="n">
        <f aca="false">IF(Q10=Reference!$C$41, Reference!$D$41, IF(Q10=Reference!$C$42, Reference!$D$42, IF(Q10=Reference!$C$43, Reference!$D$43, IF(Q10=Reference!$C$44, Reference!$D$44, 0))))</f>
        <v>7</v>
      </c>
      <c r="AE10" s="16" t="n">
        <f aca="false">1 + (AC10 * AD10)</f>
        <v>104.6875</v>
      </c>
    </row>
    <row r="11" customFormat="false" ht="12.75" hidden="false" customHeight="true" outlineLevel="0" collapsed="false">
      <c r="A11" s="9" t="s">
        <v>152</v>
      </c>
      <c r="B11" s="10" t="s">
        <v>100</v>
      </c>
      <c r="C11" s="10" t="s">
        <v>101</v>
      </c>
      <c r="D11" s="11" t="s">
        <v>153</v>
      </c>
      <c r="E11" s="12" t="s">
        <v>154</v>
      </c>
      <c r="F11" s="10" t="s">
        <v>130</v>
      </c>
      <c r="G11" s="10" t="s">
        <v>155</v>
      </c>
      <c r="H11" s="10" t="s">
        <v>55</v>
      </c>
      <c r="I11" s="12" t="s">
        <v>156</v>
      </c>
      <c r="J11" s="10" t="s">
        <v>39</v>
      </c>
      <c r="K11" s="13" t="s">
        <v>157</v>
      </c>
      <c r="L11" s="10" t="s">
        <v>52</v>
      </c>
      <c r="M11" s="13" t="s">
        <v>158</v>
      </c>
      <c r="N11" s="10" t="s">
        <v>37</v>
      </c>
      <c r="O11" s="12" t="s">
        <v>159</v>
      </c>
      <c r="P11" s="22" t="str">
        <f aca="false">IF(AC11&gt;=Reference!$H$2, Reference!$G$2, IF(AC11&gt;=Reference!$H$3, Reference!$G$3, IF(AC11&gt;=Reference!$H$4, Reference!$G$4, IF(AC11&gt;=Reference!$H$5, Reference!$G$5, ""))))</f>
        <v>Severe</v>
      </c>
      <c r="Q11" s="22" t="str">
        <f aca="false">IF(F11="Physical", "Very Low", IF(F11="Local", "Low", IF(F11="Adjacent", "Medium", IF(F11="Network", "High", ""))))</f>
        <v>Medium</v>
      </c>
      <c r="R11" s="22" t="str">
        <f aca="false">IF(AE11&gt;=Reference!$D$2, Reference!$G$2, IF(AE11&gt;=Reference!$D$3, Reference!$E$3, IF(AE11&gt;=Reference!$D$4, Reference!$E$4, IF(AE11&gt;=Reference!$D$5, Reference!$E$5, ""))))</f>
        <v>High</v>
      </c>
      <c r="S11" s="15" t="s">
        <v>43</v>
      </c>
      <c r="T11" s="12" t="s">
        <v>160</v>
      </c>
      <c r="U11" s="12" t="s">
        <v>161</v>
      </c>
      <c r="V11" s="12" t="s">
        <v>162</v>
      </c>
      <c r="W11" s="10" t="s">
        <v>163</v>
      </c>
      <c r="Y11" s="16" t="n">
        <f aca="false">IF(H11=Reference!$A$12, Reference!$C$12, IF(H11=Reference!$A$11, Reference!$C$11, IF(H11=Reference!$A$10, Reference!$C$10, IF(H11=Reference!$A$9, Reference!$C$9, 0))))</f>
        <v>7</v>
      </c>
      <c r="Z11" s="16" t="n">
        <f aca="false">IF(J11=Reference!$A$20, Reference!$C$20, IF(J11=Reference!$A$19, Reference!$C$19, IF(J11=Reference!$A$18, Reference!$C$18, IF(J11=Reference!$A$17, Reference!$C$17, 0))))</f>
        <v>4</v>
      </c>
      <c r="AA11" s="16" t="n">
        <f aca="false">IF(L11=Reference!$A$28, Reference!$C$28, IF(L11=Reference!$A$27, Reference!$C$27, IF(L11=Reference!$A$26, Reference!$C$26, IF(L11=Reference!$A$25, Reference!$C$25, 0))))</f>
        <v>10</v>
      </c>
      <c r="AB11" s="16" t="n">
        <f aca="false">IF(N11=Reference!$A$36, Reference!$C$36, IF(N11=Reference!$A$35, Reference!$C$35, IF(N11=Reference!$A$34, Reference!$C$34, IF(N11=Reference!$A$33, Reference!$C$33, 0))))</f>
        <v>1</v>
      </c>
      <c r="AC11" s="16" t="n">
        <f aca="false">(Reference!$B$2*Y11 + Reference!$B$3*AA11 + Reference!$B$4*Z11 + Reference!$B$5 * AB11)/4</f>
        <v>11.8125</v>
      </c>
      <c r="AD11" s="16" t="n">
        <f aca="false">IF(Q11=Reference!$C$41, Reference!$D$41, IF(Q11=Reference!$C$42, Reference!$D$42, IF(Q11=Reference!$C$43, Reference!$D$43, IF(Q11=Reference!$C$44, Reference!$D$44, 0))))</f>
        <v>7</v>
      </c>
      <c r="AE11" s="16" t="n">
        <f aca="false">1 + (AC11 * AD11)</f>
        <v>83.6875</v>
      </c>
    </row>
    <row r="12" customFormat="false" ht="12.75" hidden="false" customHeight="true" outlineLevel="0" collapsed="false">
      <c r="A12" s="9" t="s">
        <v>164</v>
      </c>
      <c r="B12" s="10" t="s">
        <v>87</v>
      </c>
      <c r="C12" s="10" t="s">
        <v>165</v>
      </c>
      <c r="D12" s="11" t="s">
        <v>166</v>
      </c>
      <c r="E12" s="12" t="s">
        <v>167</v>
      </c>
      <c r="F12" s="10" t="s">
        <v>130</v>
      </c>
      <c r="G12" s="10" t="s">
        <v>168</v>
      </c>
      <c r="H12" s="10" t="s">
        <v>39</v>
      </c>
      <c r="I12" s="12" t="s">
        <v>169</v>
      </c>
      <c r="J12" s="10" t="s">
        <v>52</v>
      </c>
      <c r="K12" s="13" t="s">
        <v>170</v>
      </c>
      <c r="L12" s="10" t="s">
        <v>55</v>
      </c>
      <c r="M12" s="13" t="s">
        <v>171</v>
      </c>
      <c r="N12" s="10" t="s">
        <v>55</v>
      </c>
      <c r="O12" s="12" t="s">
        <v>172</v>
      </c>
      <c r="P12" s="22" t="str">
        <f aca="false">IF(AC12&gt;=Reference!$H$2, Reference!$G$2, IF(AC12&gt;=Reference!$H$3, Reference!$G$3, IF(AC12&gt;=Reference!$H$4, Reference!$G$4, IF(AC12&gt;=Reference!$H$5, Reference!$G$5, ""))))</f>
        <v>Severe</v>
      </c>
      <c r="Q12" s="22" t="str">
        <f aca="false">IF(F12="Physical", "Very Low", IF(F12="Local", "Low", IF(F12="Adjacent", "Medium", IF(F12="Network", "High", ""))))</f>
        <v>Medium</v>
      </c>
      <c r="R12" s="22" t="str">
        <f aca="false">IF(AE12&gt;=Reference!$D$2, Reference!$G$2, IF(AE12&gt;=Reference!$D$3, Reference!$E$3, IF(AE12&gt;=Reference!$D$4, Reference!$E$4, IF(AE12&gt;=Reference!$D$5, Reference!$E$5, ""))))</f>
        <v>High</v>
      </c>
      <c r="S12" s="15" t="s">
        <v>43</v>
      </c>
      <c r="T12" s="12" t="s">
        <v>173</v>
      </c>
      <c r="U12" s="12" t="s">
        <v>174</v>
      </c>
      <c r="V12" s="12" t="s">
        <v>175</v>
      </c>
      <c r="W12" s="10" t="s">
        <v>176</v>
      </c>
      <c r="Y12" s="16" t="n">
        <f aca="false">IF(H12=Reference!$A$12, Reference!$C$12, IF(H12=Reference!$A$11, Reference!$C$11, IF(H12=Reference!$A$10, Reference!$C$10, IF(H12=Reference!$A$9, Reference!$C$9, 0))))</f>
        <v>4</v>
      </c>
      <c r="Z12" s="16" t="n">
        <f aca="false">IF(J12=Reference!$A$20, Reference!$C$20, IF(J12=Reference!$A$19, Reference!$C$19, IF(J12=Reference!$A$18, Reference!$C$18, IF(J12=Reference!$A$17, Reference!$C$17, 0))))</f>
        <v>10</v>
      </c>
      <c r="AA12" s="16" t="n">
        <f aca="false">IF(L12=Reference!$A$28, Reference!$C$28, IF(L12=Reference!$A$27, Reference!$C$27, IF(L12=Reference!$A$26, Reference!$C$26, IF(L12=Reference!$A$25, Reference!$C$25, 0))))</f>
        <v>7</v>
      </c>
      <c r="AB12" s="16" t="n">
        <f aca="false">IF(N12=Reference!$A$36, Reference!$C$36, IF(N12=Reference!$A$35, Reference!$C$35, IF(N12=Reference!$A$34, Reference!$C$34, IF(N12=Reference!$A$33, Reference!$C$33, 0))))</f>
        <v>7</v>
      </c>
      <c r="AC12" s="16" t="n">
        <f aca="false">(Reference!$B$2*Y12 + Reference!$B$3*AA12 + Reference!$B$4*Z12 + Reference!$B$5 * AB12)/4</f>
        <v>8.4375</v>
      </c>
      <c r="AD12" s="16" t="n">
        <f aca="false">IF(Q12=Reference!$C$41, Reference!$D$41, IF(Q12=Reference!$C$42, Reference!$D$42, IF(Q12=Reference!$C$43, Reference!$D$43, IF(Q12=Reference!$C$44, Reference!$D$44, 0))))</f>
        <v>7</v>
      </c>
      <c r="AE12" s="16" t="n">
        <f aca="false">1 + (AC12 * AD12)</f>
        <v>60.0625</v>
      </c>
    </row>
    <row r="13" customFormat="false" ht="12.75" hidden="false" customHeight="true" outlineLevel="0" collapsed="false">
      <c r="A13" s="9" t="s">
        <v>177</v>
      </c>
      <c r="B13" s="10" t="s">
        <v>178</v>
      </c>
      <c r="C13" s="10" t="s">
        <v>165</v>
      </c>
      <c r="D13" s="11" t="s">
        <v>179</v>
      </c>
      <c r="E13" s="12" t="s">
        <v>180</v>
      </c>
      <c r="F13" s="10" t="s">
        <v>130</v>
      </c>
      <c r="G13" s="10" t="s">
        <v>181</v>
      </c>
      <c r="H13" s="10" t="s">
        <v>37</v>
      </c>
      <c r="I13" s="12" t="s">
        <v>182</v>
      </c>
      <c r="J13" s="10" t="s">
        <v>55</v>
      </c>
      <c r="K13" s="13" t="s">
        <v>183</v>
      </c>
      <c r="L13" s="10" t="s">
        <v>37</v>
      </c>
      <c r="M13" s="13" t="s">
        <v>184</v>
      </c>
      <c r="N13" s="10" t="s">
        <v>52</v>
      </c>
      <c r="O13" s="12" t="s">
        <v>185</v>
      </c>
      <c r="P13" s="22" t="str">
        <f aca="false">IF(AC13&gt;=Reference!$H$2, Reference!$G$2, IF(AC13&gt;=Reference!$H$3, Reference!$G$3, IF(AC13&gt;=Reference!$H$4, Reference!$G$4, IF(AC13&gt;=Reference!$H$5, Reference!$G$5, ""))))</f>
        <v>Moderate</v>
      </c>
      <c r="Q13" s="22" t="str">
        <f aca="false">IF(F13="Physical", "Very Low", IF(F13="Local", "Low", IF(F13="Adjacent", "Medium", IF(F13="Network", "High", ""))))</f>
        <v>Medium</v>
      </c>
      <c r="R13" s="22" t="str">
        <f aca="false">IF(AE13&gt;=Reference!$D$2, Reference!$G$2, IF(AE13&gt;=Reference!$D$3, Reference!$E$3, IF(AE13&gt;=Reference!$D$4, Reference!$E$4, IF(AE13&gt;=Reference!$D$5, Reference!$E$5, ""))))</f>
        <v>Medium</v>
      </c>
      <c r="S13" s="15" t="s">
        <v>43</v>
      </c>
      <c r="T13" s="12" t="s">
        <v>186</v>
      </c>
      <c r="U13" s="12" t="s">
        <v>187</v>
      </c>
      <c r="V13" s="12" t="s">
        <v>188</v>
      </c>
      <c r="W13" s="10" t="s">
        <v>189</v>
      </c>
      <c r="Y13" s="16" t="n">
        <f aca="false">IF(H13=Reference!$A$12, Reference!$C$12, IF(H13=Reference!$A$11, Reference!$C$11, IF(H13=Reference!$A$10, Reference!$C$10, IF(H13=Reference!$A$9, Reference!$C$9, 0))))</f>
        <v>1</v>
      </c>
      <c r="Z13" s="16" t="n">
        <f aca="false">IF(J13=Reference!$A$20, Reference!$C$20, IF(J13=Reference!$A$19, Reference!$C$19, IF(J13=Reference!$A$18, Reference!$C$18, IF(J13=Reference!$A$17, Reference!$C$17, 0))))</f>
        <v>7</v>
      </c>
      <c r="AA13" s="16" t="n">
        <f aca="false">IF(L13=Reference!$A$28, Reference!$C$28, IF(L13=Reference!$A$27, Reference!$C$27, IF(L13=Reference!$A$26, Reference!$C$26, IF(L13=Reference!$A$25, Reference!$C$25, 0))))</f>
        <v>1</v>
      </c>
      <c r="AB13" s="16" t="n">
        <f aca="false">IF(N13=Reference!$A$36, Reference!$C$36, IF(N13=Reference!$A$35, Reference!$C$35, IF(N13=Reference!$A$34, Reference!$C$34, IF(N13=Reference!$A$33, Reference!$C$33, 0))))</f>
        <v>10</v>
      </c>
      <c r="AC13" s="16" t="n">
        <f aca="false">(Reference!$B$2*Y13 + Reference!$B$3*AA13 + Reference!$B$4*Z13 + Reference!$B$5 * AB13)/4</f>
        <v>3</v>
      </c>
      <c r="AD13" s="16" t="n">
        <f aca="false">IF(Q13=Reference!$C$41, Reference!$D$41, IF(Q13=Reference!$C$42, Reference!$D$42, IF(Q13=Reference!$C$43, Reference!$D$43, IF(Q13=Reference!$C$44, Reference!$D$44, 0))))</f>
        <v>7</v>
      </c>
      <c r="AE13" s="16" t="n">
        <f aca="false">1 + (AC13 * AD13)</f>
        <v>22</v>
      </c>
    </row>
    <row r="14" customFormat="false" ht="12.75" hidden="false" customHeight="true" outlineLevel="0" collapsed="false">
      <c r="A14" s="9" t="s">
        <v>190</v>
      </c>
      <c r="B14" s="10" t="s">
        <v>127</v>
      </c>
      <c r="C14" s="10" t="s">
        <v>32</v>
      </c>
      <c r="D14" s="11" t="s">
        <v>191</v>
      </c>
      <c r="E14" s="12" t="s">
        <v>192</v>
      </c>
      <c r="F14" s="10" t="s">
        <v>130</v>
      </c>
      <c r="G14" s="10" t="s">
        <v>193</v>
      </c>
      <c r="H14" s="10" t="s">
        <v>39</v>
      </c>
      <c r="I14" s="12" t="s">
        <v>194</v>
      </c>
      <c r="J14" s="10" t="s">
        <v>39</v>
      </c>
      <c r="K14" s="13" t="s">
        <v>195</v>
      </c>
      <c r="L14" s="10" t="s">
        <v>55</v>
      </c>
      <c r="M14" s="13" t="s">
        <v>196</v>
      </c>
      <c r="N14" s="10" t="s">
        <v>37</v>
      </c>
      <c r="O14" s="12" t="s">
        <v>197</v>
      </c>
      <c r="P14" s="22" t="str">
        <f aca="false">IF(AC14&gt;=Reference!$H$2, Reference!$G$2, IF(AC14&gt;=Reference!$H$3, Reference!$G$3, IF(AC14&gt;=Reference!$H$4, Reference!$G$4, IF(AC14&gt;=Reference!$H$5, Reference!$G$5, ""))))</f>
        <v>Major</v>
      </c>
      <c r="Q14" s="22" t="str">
        <f aca="false">IF(F14="Physical", "Very Low", IF(F14="Local", "Low", IF(F14="Adjacent", "Medium", IF(F14="Network", "High", ""))))</f>
        <v>Medium</v>
      </c>
      <c r="R14" s="22" t="str">
        <f aca="false">IF(AE14&gt;=Reference!$D$2, Reference!$G$2, IF(AE14&gt;=Reference!$D$3, Reference!$E$3, IF(AE14&gt;=Reference!$D$4, Reference!$E$4, IF(AE14&gt;=Reference!$D$5, Reference!$E$5, ""))))</f>
        <v>High</v>
      </c>
      <c r="S14" s="15" t="s">
        <v>43</v>
      </c>
      <c r="T14" s="12" t="s">
        <v>198</v>
      </c>
      <c r="U14" s="12" t="s">
        <v>199</v>
      </c>
      <c r="V14" s="12" t="s">
        <v>200</v>
      </c>
      <c r="W14" s="10" t="s">
        <v>201</v>
      </c>
      <c r="Y14" s="16" t="n">
        <f aca="false">IF(H14=Reference!$A$12, Reference!$C$12, IF(H14=Reference!$A$11, Reference!$C$11, IF(H14=Reference!$A$10, Reference!$C$10, IF(H14=Reference!$A$9, Reference!$C$9, 0))))</f>
        <v>4</v>
      </c>
      <c r="Z14" s="16" t="n">
        <f aca="false">IF(J14=Reference!$A$20, Reference!$C$20, IF(J14=Reference!$A$19, Reference!$C$19, IF(J14=Reference!$A$18, Reference!$C$18, IF(J14=Reference!$A$17, Reference!$C$17, 0))))</f>
        <v>4</v>
      </c>
      <c r="AA14" s="16" t="n">
        <f aca="false">IF(L14=Reference!$A$28, Reference!$C$28, IF(L14=Reference!$A$27, Reference!$C$27, IF(L14=Reference!$A$26, Reference!$C$26, IF(L14=Reference!$A$25, Reference!$C$25, 0))))</f>
        <v>7</v>
      </c>
      <c r="AB14" s="16" t="n">
        <f aca="false">IF(N14=Reference!$A$36, Reference!$C$36, IF(N14=Reference!$A$35, Reference!$C$35, IF(N14=Reference!$A$34, Reference!$C$34, IF(N14=Reference!$A$33, Reference!$C$33, 0))))</f>
        <v>1</v>
      </c>
      <c r="AC14" s="16" t="n">
        <f aca="false">(Reference!$B$2*Y14 + Reference!$B$3*AA14 + Reference!$B$4*Z14 + Reference!$B$5 * AB14)/4</f>
        <v>7.3125</v>
      </c>
      <c r="AD14" s="16" t="n">
        <f aca="false">IF(Q14=Reference!$C$41, Reference!$D$41, IF(Q14=Reference!$C$42, Reference!$D$42, IF(Q14=Reference!$C$43, Reference!$D$43, IF(Q14=Reference!$C$44, Reference!$D$44, 0))))</f>
        <v>7</v>
      </c>
      <c r="AE14" s="16" t="n">
        <f aca="false">1 + (AC14 * AD14)</f>
        <v>52.1875</v>
      </c>
    </row>
    <row r="15" customFormat="false" ht="12.75" hidden="false" customHeight="true" outlineLevel="0" collapsed="false">
      <c r="A15" s="9" t="s">
        <v>202</v>
      </c>
      <c r="B15" s="10" t="s">
        <v>100</v>
      </c>
      <c r="C15" s="10" t="s">
        <v>101</v>
      </c>
      <c r="D15" s="11" t="s">
        <v>203</v>
      </c>
      <c r="E15" s="12" t="s">
        <v>204</v>
      </c>
      <c r="F15" s="10" t="s">
        <v>130</v>
      </c>
      <c r="G15" s="10" t="s">
        <v>205</v>
      </c>
      <c r="H15" s="10" t="s">
        <v>39</v>
      </c>
      <c r="I15" s="12" t="s">
        <v>206</v>
      </c>
      <c r="J15" s="10" t="s">
        <v>39</v>
      </c>
      <c r="K15" s="13" t="s">
        <v>207</v>
      </c>
      <c r="L15" s="10" t="s">
        <v>55</v>
      </c>
      <c r="M15" s="13" t="s">
        <v>208</v>
      </c>
      <c r="N15" s="10" t="s">
        <v>37</v>
      </c>
      <c r="O15" s="12" t="s">
        <v>209</v>
      </c>
      <c r="P15" s="22" t="str">
        <f aca="false">IF(AC15&gt;=Reference!$H$2, Reference!$G$2, IF(AC15&gt;=Reference!$H$3, Reference!$G$3, IF(AC15&gt;=Reference!$H$4, Reference!$G$4, IF(AC15&gt;=Reference!$H$5, Reference!$G$5, ""))))</f>
        <v>Major</v>
      </c>
      <c r="Q15" s="22" t="str">
        <f aca="false">IF(F15="Physical", "Very Low", IF(F15="Local", "Low", IF(F15="Adjacent", "Medium", IF(F15="Network", "High", ""))))</f>
        <v>Medium</v>
      </c>
      <c r="R15" s="22" t="str">
        <f aca="false">IF(AE15&gt;=Reference!$D$2, Reference!$G$2, IF(AE15&gt;=Reference!$D$3, Reference!$E$3, IF(AE15&gt;=Reference!$D$4, Reference!$E$4, IF(AE15&gt;=Reference!$D$5, Reference!$E$5, ""))))</f>
        <v>High</v>
      </c>
      <c r="S15" s="15" t="s">
        <v>43</v>
      </c>
      <c r="T15" s="12" t="s">
        <v>210</v>
      </c>
      <c r="U15" s="12" t="s">
        <v>211</v>
      </c>
      <c r="V15" s="12" t="s">
        <v>212</v>
      </c>
      <c r="W15" s="10" t="s">
        <v>213</v>
      </c>
      <c r="X15" s="23"/>
      <c r="Y15" s="16" t="n">
        <f aca="false">IF(H15=Reference!$A$12, Reference!$C$12, IF(H15=Reference!$A$11, Reference!$C$11, IF(H15=Reference!$A$10, Reference!$C$10, IF(H15=Reference!$A$9, Reference!$C$9, 0))))</f>
        <v>4</v>
      </c>
      <c r="Z15" s="16" t="n">
        <f aca="false">IF(J15=Reference!$A$20, Reference!$C$20, IF(J15=Reference!$A$19, Reference!$C$19, IF(J15=Reference!$A$18, Reference!$C$18, IF(J15=Reference!$A$17, Reference!$C$17, 0))))</f>
        <v>4</v>
      </c>
      <c r="AA15" s="16" t="n">
        <f aca="false">IF(L15=Reference!$A$28, Reference!$C$28, IF(L15=Reference!$A$27, Reference!$C$27, IF(L15=Reference!$A$26, Reference!$C$26, IF(L15=Reference!$A$25, Reference!$C$25, 0))))</f>
        <v>7</v>
      </c>
      <c r="AB15" s="16" t="n">
        <f aca="false">IF(N15=Reference!$A$36, Reference!$C$36, IF(N15=Reference!$A$35, Reference!$C$35, IF(N15=Reference!$A$34, Reference!$C$34, IF(N15=Reference!$A$33, Reference!$C$33, 0))))</f>
        <v>1</v>
      </c>
      <c r="AC15" s="16" t="n">
        <f aca="false">(Reference!$B$2*Y15 + Reference!$B$3*AA15 + Reference!$B$4*Z15 + Reference!$B$5 * AB15)/4</f>
        <v>7.3125</v>
      </c>
      <c r="AD15" s="16" t="n">
        <f aca="false">IF(Q15=Reference!$C$41, Reference!$D$41, IF(Q15=Reference!$C$42, Reference!$D$42, IF(Q15=Reference!$C$43, Reference!$D$43, IF(Q15=Reference!$C$44, Reference!$D$44, 0))))</f>
        <v>7</v>
      </c>
      <c r="AE15" s="16" t="n">
        <f aca="false">1 + (AC15 * AD15)</f>
        <v>52.1875</v>
      </c>
    </row>
    <row r="16" customFormat="false" ht="12.75" hidden="false" customHeight="true" outlineLevel="0" collapsed="false">
      <c r="A16" s="9" t="s">
        <v>214</v>
      </c>
      <c r="B16" s="10" t="s">
        <v>31</v>
      </c>
      <c r="C16" s="10" t="s">
        <v>32</v>
      </c>
      <c r="D16" s="11" t="s">
        <v>215</v>
      </c>
      <c r="E16" s="12" t="s">
        <v>216</v>
      </c>
      <c r="F16" s="10" t="s">
        <v>50</v>
      </c>
      <c r="G16" s="10" t="s">
        <v>217</v>
      </c>
      <c r="H16" s="10" t="s">
        <v>39</v>
      </c>
      <c r="I16" s="12" t="s">
        <v>218</v>
      </c>
      <c r="J16" s="10" t="s">
        <v>55</v>
      </c>
      <c r="K16" s="13" t="s">
        <v>219</v>
      </c>
      <c r="L16" s="10" t="s">
        <v>55</v>
      </c>
      <c r="M16" s="13" t="s">
        <v>220</v>
      </c>
      <c r="N16" s="10" t="s">
        <v>39</v>
      </c>
      <c r="O16" s="12" t="s">
        <v>221</v>
      </c>
      <c r="P16" s="22" t="str">
        <f aca="false">IF(AC16&gt;=Reference!$H$2, Reference!$G$2, IF(AC16&gt;=Reference!$H$3, Reference!$G$3, IF(AC16&gt;=Reference!$H$4, Reference!$G$4, IF(AC16&gt;=Reference!$H$5, Reference!$G$5, ""))))</f>
        <v>Major</v>
      </c>
      <c r="Q16" s="22" t="str">
        <f aca="false">IF(F16="Physical", "Very Low", IF(F16="Local", "Low", IF(F16="Adjacent", "Medium", IF(F16="Network", "High", ""))))</f>
        <v>Very Low</v>
      </c>
      <c r="R16" s="22" t="str">
        <f aca="false">IF(AE16&gt;=Reference!$D$2, Reference!$G$2, IF(AE16&gt;=Reference!$D$3, Reference!$E$3, IF(AE16&gt;=Reference!$D$4, Reference!$E$4, IF(AE16&gt;=Reference!$D$5, Reference!$E$5, ""))))</f>
        <v>Low</v>
      </c>
      <c r="S16" s="15" t="s">
        <v>43</v>
      </c>
      <c r="T16" s="12" t="s">
        <v>222</v>
      </c>
      <c r="U16" s="12" t="s">
        <v>223</v>
      </c>
      <c r="V16" s="12" t="s">
        <v>224</v>
      </c>
      <c r="W16" s="10" t="s">
        <v>225</v>
      </c>
      <c r="Y16" s="16" t="n">
        <f aca="false">IF(H16=Reference!$A$12, Reference!$C$12, IF(H16=Reference!$A$11, Reference!$C$11, IF(H16=Reference!$A$10, Reference!$C$10, IF(H16=Reference!$A$9, Reference!$C$9, 0))))</f>
        <v>4</v>
      </c>
      <c r="Z16" s="16" t="n">
        <f aca="false">IF(J16=Reference!$A$20, Reference!$C$20, IF(J16=Reference!$A$19, Reference!$C$19, IF(J16=Reference!$A$18, Reference!$C$18, IF(J16=Reference!$A$17, Reference!$C$17, 0))))</f>
        <v>7</v>
      </c>
      <c r="AA16" s="16" t="n">
        <f aca="false">IF(L16=Reference!$A$28, Reference!$C$28, IF(L16=Reference!$A$27, Reference!$C$27, IF(L16=Reference!$A$26, Reference!$C$26, IF(L16=Reference!$A$25, Reference!$C$25, 0))))</f>
        <v>7</v>
      </c>
      <c r="AB16" s="16" t="n">
        <f aca="false">IF(N16=Reference!$A$36, Reference!$C$36, IF(N16=Reference!$A$35, Reference!$C$35, IF(N16=Reference!$A$34, Reference!$C$34, IF(N16=Reference!$A$33, Reference!$C$33, 0))))</f>
        <v>4</v>
      </c>
      <c r="AC16" s="16" t="n">
        <f aca="false">(Reference!$B$2*Y16 + Reference!$B$3*AA16 + Reference!$B$4*Z16 + Reference!$B$5 * AB16)/4</f>
        <v>7.875</v>
      </c>
      <c r="AD16" s="16" t="n">
        <f aca="false">IF(Q16=Reference!$C$41, Reference!$D$41, IF(Q16=Reference!$C$42, Reference!$D$42, IF(Q16=Reference!$C$43, Reference!$D$43, IF(Q16=Reference!$C$44, Reference!$D$44, 0))))</f>
        <v>1</v>
      </c>
      <c r="AE16" s="16" t="n">
        <f aca="false">1 + (AC16 * AD16)</f>
        <v>8.875</v>
      </c>
    </row>
    <row r="17" customFormat="false" ht="12.75" hidden="false" customHeight="true" outlineLevel="0" collapsed="false">
      <c r="A17" s="9" t="s">
        <v>226</v>
      </c>
      <c r="B17" s="10" t="s">
        <v>87</v>
      </c>
      <c r="C17" s="10" t="s">
        <v>165</v>
      </c>
      <c r="D17" s="11" t="s">
        <v>227</v>
      </c>
      <c r="E17" s="12" t="s">
        <v>228</v>
      </c>
      <c r="F17" s="10" t="s">
        <v>130</v>
      </c>
      <c r="G17" s="10" t="s">
        <v>229</v>
      </c>
      <c r="H17" s="10" t="s">
        <v>39</v>
      </c>
      <c r="I17" s="12" t="s">
        <v>230</v>
      </c>
      <c r="J17" s="10" t="s">
        <v>52</v>
      </c>
      <c r="K17" s="13" t="s">
        <v>231</v>
      </c>
      <c r="L17" s="10" t="s">
        <v>55</v>
      </c>
      <c r="M17" s="13" t="s">
        <v>232</v>
      </c>
      <c r="N17" s="10" t="s">
        <v>55</v>
      </c>
      <c r="O17" s="12" t="s">
        <v>233</v>
      </c>
      <c r="P17" s="22" t="str">
        <f aca="false">IF(AC17&gt;=Reference!$H$2, Reference!$G$2, IF(AC17&gt;=Reference!$H$3, Reference!$G$3, IF(AC17&gt;=Reference!$H$4, Reference!$G$4, IF(AC17&gt;=Reference!$H$5, Reference!$G$5, ""))))</f>
        <v>Severe</v>
      </c>
      <c r="Q17" s="22" t="str">
        <f aca="false">IF(F17="Physical", "Very Low", IF(F17="Local", "Low", IF(F17="Adjacent", "Medium", IF(F17="Network", "High", ""))))</f>
        <v>Medium</v>
      </c>
      <c r="R17" s="22" t="str">
        <f aca="false">IF(AE17&gt;=Reference!$D$2, Reference!$G$2, IF(AE17&gt;=Reference!$D$3, Reference!$E$3, IF(AE17&gt;=Reference!$D$4, Reference!$E$4, IF(AE17&gt;=Reference!$D$5, Reference!$E$5, ""))))</f>
        <v>High</v>
      </c>
      <c r="S17" s="15" t="s">
        <v>43</v>
      </c>
      <c r="T17" s="12" t="s">
        <v>234</v>
      </c>
      <c r="U17" s="12" t="s">
        <v>235</v>
      </c>
      <c r="V17" s="12" t="s">
        <v>236</v>
      </c>
      <c r="W17" s="10" t="s">
        <v>237</v>
      </c>
      <c r="Y17" s="16" t="n">
        <f aca="false">IF(H17=Reference!$A$12, Reference!$C$12, IF(H17=Reference!$A$11, Reference!$C$11, IF(H17=Reference!$A$10, Reference!$C$10, IF(H17=Reference!$A$9, Reference!$C$9, 0))))</f>
        <v>4</v>
      </c>
      <c r="Z17" s="16" t="n">
        <f aca="false">IF(J17=Reference!$A$20, Reference!$C$20, IF(J17=Reference!$A$19, Reference!$C$19, IF(J17=Reference!$A$18, Reference!$C$18, IF(J17=Reference!$A$17, Reference!$C$17, 0))))</f>
        <v>10</v>
      </c>
      <c r="AA17" s="16" t="n">
        <f aca="false">IF(L17=Reference!$A$28, Reference!$C$28, IF(L17=Reference!$A$27, Reference!$C$27, IF(L17=Reference!$A$26, Reference!$C$26, IF(L17=Reference!$A$25, Reference!$C$25, 0))))</f>
        <v>7</v>
      </c>
      <c r="AB17" s="16" t="n">
        <f aca="false">IF(N17=Reference!$A$36, Reference!$C$36, IF(N17=Reference!$A$35, Reference!$C$35, IF(N17=Reference!$A$34, Reference!$C$34, IF(N17=Reference!$A$33, Reference!$C$33, 0))))</f>
        <v>7</v>
      </c>
      <c r="AC17" s="16" t="n">
        <f aca="false">(Reference!$B$2*Y17 + Reference!$B$3*AA17 + Reference!$B$4*Z17 + Reference!$B$5 * AB17)/4</f>
        <v>8.4375</v>
      </c>
      <c r="AD17" s="16" t="n">
        <f aca="false">IF(Q17=Reference!$C$41, Reference!$D$41, IF(Q17=Reference!$C$42, Reference!$D$42, IF(Q17=Reference!$C$43, Reference!$D$43, IF(Q17=Reference!$C$44, Reference!$D$44, 0))))</f>
        <v>7</v>
      </c>
      <c r="AE17" s="16" t="n">
        <f aca="false">1 + (AC17 * AD17)</f>
        <v>60.0625</v>
      </c>
    </row>
    <row r="18" customFormat="false" ht="12.75" hidden="false" customHeight="true" outlineLevel="0" collapsed="false">
      <c r="A18" s="9" t="s">
        <v>238</v>
      </c>
      <c r="B18" s="10" t="s">
        <v>127</v>
      </c>
      <c r="C18" s="10" t="s">
        <v>32</v>
      </c>
      <c r="D18" s="11" t="s">
        <v>239</v>
      </c>
      <c r="E18" s="12" t="s">
        <v>240</v>
      </c>
      <c r="F18" s="10" t="s">
        <v>130</v>
      </c>
      <c r="G18" s="10" t="s">
        <v>241</v>
      </c>
      <c r="H18" s="10" t="s">
        <v>37</v>
      </c>
      <c r="I18" s="12" t="s">
        <v>242</v>
      </c>
      <c r="J18" s="10" t="s">
        <v>39</v>
      </c>
      <c r="K18" s="13" t="s">
        <v>243</v>
      </c>
      <c r="L18" s="10" t="s">
        <v>39</v>
      </c>
      <c r="M18" s="13" t="s">
        <v>244</v>
      </c>
      <c r="N18" s="10" t="s">
        <v>39</v>
      </c>
      <c r="O18" s="12" t="s">
        <v>245</v>
      </c>
      <c r="P18" s="22" t="str">
        <f aca="false">IF(AC18&gt;=Reference!$H$2, Reference!$G$2, IF(AC18&gt;=Reference!$H$3, Reference!$G$3, IF(AC18&gt;=Reference!$H$4, Reference!$G$4, IF(AC18&gt;=Reference!$H$5, Reference!$G$5, ""))))</f>
        <v>Moderate</v>
      </c>
      <c r="Q18" s="22" t="str">
        <f aca="false">IF(F18="Physical", "Very Low", IF(F18="Local", "Low", IF(F18="Adjacent", "Medium", IF(F18="Network", "High", ""))))</f>
        <v>Medium</v>
      </c>
      <c r="R18" s="22" t="str">
        <f aca="false">IF(AE18&gt;=Reference!$D$2, Reference!$G$2, IF(AE18&gt;=Reference!$D$3, Reference!$E$3, IF(AE18&gt;=Reference!$D$4, Reference!$E$4, IF(AE18&gt;=Reference!$D$5, Reference!$E$5, ""))))</f>
        <v>Medium</v>
      </c>
      <c r="S18" s="15" t="s">
        <v>43</v>
      </c>
      <c r="T18" s="12" t="s">
        <v>246</v>
      </c>
      <c r="U18" s="12" t="s">
        <v>247</v>
      </c>
      <c r="V18" s="12" t="s">
        <v>248</v>
      </c>
      <c r="W18" s="10" t="s">
        <v>249</v>
      </c>
      <c r="X18" s="23"/>
      <c r="Y18" s="16" t="n">
        <f aca="false">IF(H18=Reference!$A$12, Reference!$C$12, IF(H18=Reference!$A$11, Reference!$C$11, IF(H18=Reference!$A$10, Reference!$C$10, IF(H18=Reference!$A$9, Reference!$C$9, 0))))</f>
        <v>1</v>
      </c>
      <c r="Z18" s="16" t="n">
        <f aca="false">IF(J18=Reference!$A$20, Reference!$C$20, IF(J18=Reference!$A$19, Reference!$C$19, IF(J18=Reference!$A$18, Reference!$C$18, IF(J18=Reference!$A$17, Reference!$C$17, 0))))</f>
        <v>4</v>
      </c>
      <c r="AA18" s="16" t="n">
        <f aca="false">IF(L18=Reference!$A$28, Reference!$C$28, IF(L18=Reference!$A$27, Reference!$C$27, IF(L18=Reference!$A$26, Reference!$C$26, IF(L18=Reference!$A$25, Reference!$C$25, 0))))</f>
        <v>4</v>
      </c>
      <c r="AB18" s="16" t="n">
        <f aca="false">IF(N18=Reference!$A$36, Reference!$C$36, IF(N18=Reference!$A$35, Reference!$C$35, IF(N18=Reference!$A$34, Reference!$C$34, IF(N18=Reference!$A$33, Reference!$C$33, 0))))</f>
        <v>4</v>
      </c>
      <c r="AC18" s="16" t="n">
        <f aca="false">(Reference!$B$2*Y18 + Reference!$B$3*AA18 + Reference!$B$4*Z18 + Reference!$B$5 * AB18)/4</f>
        <v>3</v>
      </c>
      <c r="AD18" s="16" t="n">
        <f aca="false">IF(Q18=Reference!$C$41, Reference!$D$41, IF(Q18=Reference!$C$42, Reference!$D$42, IF(Q18=Reference!$C$43, Reference!$D$43, IF(Q18=Reference!$C$44, Reference!$D$44, 0))))</f>
        <v>7</v>
      </c>
      <c r="AE18" s="16" t="n">
        <f aca="false">1 + (AC18 * AD18)</f>
        <v>22</v>
      </c>
    </row>
    <row r="19" customFormat="false" ht="12.75" hidden="false" customHeight="true" outlineLevel="0" collapsed="false">
      <c r="A19" s="9" t="s">
        <v>250</v>
      </c>
      <c r="B19" s="10" t="s">
        <v>100</v>
      </c>
      <c r="C19" s="10" t="s">
        <v>101</v>
      </c>
      <c r="D19" s="11" t="s">
        <v>251</v>
      </c>
      <c r="E19" s="12" t="s">
        <v>252</v>
      </c>
      <c r="F19" s="10" t="s">
        <v>130</v>
      </c>
      <c r="G19" s="10" t="s">
        <v>253</v>
      </c>
      <c r="H19" s="10" t="s">
        <v>37</v>
      </c>
      <c r="I19" s="12" t="s">
        <v>254</v>
      </c>
      <c r="J19" s="10" t="s">
        <v>39</v>
      </c>
      <c r="K19" s="13" t="s">
        <v>255</v>
      </c>
      <c r="L19" s="10" t="s">
        <v>39</v>
      </c>
      <c r="M19" s="13" t="s">
        <v>256</v>
      </c>
      <c r="N19" s="10" t="s">
        <v>37</v>
      </c>
      <c r="O19" s="12" t="s">
        <v>209</v>
      </c>
      <c r="P19" s="22" t="str">
        <f aca="false">IF(AC19&gt;=Reference!$H$2, Reference!$G$2, IF(AC19&gt;=Reference!$H$3, Reference!$G$3, IF(AC19&gt;=Reference!$H$4, Reference!$G$4, IF(AC19&gt;=Reference!$H$5, Reference!$G$5, ""))))</f>
        <v>Moderate</v>
      </c>
      <c r="Q19" s="22" t="str">
        <f aca="false">IF(F19="Physical", "Very Low", IF(F19="Local", "Low", IF(F19="Adjacent", "Medium", IF(F19="Network", "High", ""))))</f>
        <v>Medium</v>
      </c>
      <c r="R19" s="22" t="str">
        <f aca="false">IF(AE19&gt;=Reference!$D$2, Reference!$G$2, IF(AE19&gt;=Reference!$D$3, Reference!$E$3, IF(AE19&gt;=Reference!$D$4, Reference!$E$4, IF(AE19&gt;=Reference!$D$5, Reference!$E$5, ""))))</f>
        <v>Medium</v>
      </c>
      <c r="S19" s="15" t="s">
        <v>43</v>
      </c>
      <c r="T19" s="12" t="s">
        <v>257</v>
      </c>
      <c r="U19" s="12" t="s">
        <v>258</v>
      </c>
      <c r="V19" s="12" t="s">
        <v>259</v>
      </c>
      <c r="W19" s="10" t="s">
        <v>260</v>
      </c>
      <c r="Y19" s="16" t="n">
        <f aca="false">IF(H19=Reference!$A$12, Reference!$C$12, IF(H19=Reference!$A$11, Reference!$C$11, IF(H19=Reference!$A$10, Reference!$C$10, IF(H19=Reference!$A$9, Reference!$C$9, 0))))</f>
        <v>1</v>
      </c>
      <c r="Z19" s="16" t="n">
        <f aca="false">IF(J19=Reference!$A$20, Reference!$C$20, IF(J19=Reference!$A$19, Reference!$C$19, IF(J19=Reference!$A$18, Reference!$C$18, IF(J19=Reference!$A$17, Reference!$C$17, 0))))</f>
        <v>4</v>
      </c>
      <c r="AA19" s="16" t="n">
        <f aca="false">IF(L19=Reference!$A$28, Reference!$C$28, IF(L19=Reference!$A$27, Reference!$C$27, IF(L19=Reference!$A$26, Reference!$C$26, IF(L19=Reference!$A$25, Reference!$C$25, 0))))</f>
        <v>4</v>
      </c>
      <c r="AB19" s="16" t="n">
        <f aca="false">IF(N19=Reference!$A$36, Reference!$C$36, IF(N19=Reference!$A$35, Reference!$C$35, IF(N19=Reference!$A$34, Reference!$C$34, IF(N19=Reference!$A$33, Reference!$C$33, 0))))</f>
        <v>1</v>
      </c>
      <c r="AC19" s="16" t="n">
        <f aca="false">(Reference!$B$2*Y19 + Reference!$B$3*AA19 + Reference!$B$4*Z19 + Reference!$B$5 * AB19)/4</f>
        <v>2.8125</v>
      </c>
      <c r="AD19" s="16" t="n">
        <f aca="false">IF(Q19=Reference!$C$41, Reference!$D$41, IF(Q19=Reference!$C$42, Reference!$D$42, IF(Q19=Reference!$C$43, Reference!$D$43, IF(Q19=Reference!$C$44, Reference!$D$44, 0))))</f>
        <v>7</v>
      </c>
      <c r="AE19" s="16" t="n">
        <f aca="false">1 + (AC19 * AD19)</f>
        <v>20.6875</v>
      </c>
    </row>
    <row r="20" customFormat="false" ht="12.75" hidden="false" customHeight="true" outlineLevel="0" collapsed="false">
      <c r="A20" s="9" t="s">
        <v>261</v>
      </c>
      <c r="B20" s="10" t="s">
        <v>127</v>
      </c>
      <c r="C20" s="10" t="s">
        <v>32</v>
      </c>
      <c r="D20" s="11" t="s">
        <v>262</v>
      </c>
      <c r="E20" s="12" t="s">
        <v>263</v>
      </c>
      <c r="F20" s="10" t="s">
        <v>130</v>
      </c>
      <c r="G20" s="10" t="s">
        <v>264</v>
      </c>
      <c r="H20" s="10" t="s">
        <v>37</v>
      </c>
      <c r="I20" s="12" t="s">
        <v>265</v>
      </c>
      <c r="J20" s="10" t="s">
        <v>39</v>
      </c>
      <c r="K20" s="13" t="s">
        <v>266</v>
      </c>
      <c r="L20" s="10" t="s">
        <v>39</v>
      </c>
      <c r="M20" s="13" t="s">
        <v>267</v>
      </c>
      <c r="N20" s="10" t="s">
        <v>37</v>
      </c>
      <c r="O20" s="12" t="s">
        <v>268</v>
      </c>
      <c r="P20" s="22" t="str">
        <f aca="false">IF(AC20&gt;=Reference!$H$2, Reference!$G$2, IF(AC20&gt;=Reference!$H$3, Reference!$G$3, IF(AC20&gt;=Reference!$H$4, Reference!$G$4, IF(AC20&gt;=Reference!$H$5, Reference!$G$5, ""))))</f>
        <v>Moderate</v>
      </c>
      <c r="Q20" s="22" t="str">
        <f aca="false">IF(F20="Physical", "Very Low", IF(F20="Local", "Low", IF(F20="Adjacent", "Medium", IF(F20="Network", "High", ""))))</f>
        <v>Medium</v>
      </c>
      <c r="R20" s="22" t="str">
        <f aca="false">IF(AE20&gt;=Reference!$D$2, Reference!$G$2, IF(AE20&gt;=Reference!$D$3, Reference!$E$3, IF(AE20&gt;=Reference!$D$4, Reference!$E$4, IF(AE20&gt;=Reference!$D$5, Reference!$E$5, ""))))</f>
        <v>Medium</v>
      </c>
      <c r="S20" s="15" t="s">
        <v>43</v>
      </c>
      <c r="T20" s="12" t="s">
        <v>269</v>
      </c>
      <c r="U20" s="12" t="s">
        <v>270</v>
      </c>
      <c r="V20" s="12" t="s">
        <v>271</v>
      </c>
      <c r="W20" s="10" t="s">
        <v>272</v>
      </c>
      <c r="Y20" s="16" t="n">
        <f aca="false">IF(H20=Reference!$A$12, Reference!$C$12, IF(H20=Reference!$A$11, Reference!$C$11, IF(H20=Reference!$A$10, Reference!$C$10, IF(H20=Reference!$A$9, Reference!$C$9, 0))))</f>
        <v>1</v>
      </c>
      <c r="Z20" s="16" t="n">
        <f aca="false">IF(J20=Reference!$A$20, Reference!$C$20, IF(J20=Reference!$A$19, Reference!$C$19, IF(J20=Reference!$A$18, Reference!$C$18, IF(J20=Reference!$A$17, Reference!$C$17, 0))))</f>
        <v>4</v>
      </c>
      <c r="AA20" s="16" t="n">
        <f aca="false">IF(L20=Reference!$A$28, Reference!$C$28, IF(L20=Reference!$A$27, Reference!$C$27, IF(L20=Reference!$A$26, Reference!$C$26, IF(L20=Reference!$A$25, Reference!$C$25, 0))))</f>
        <v>4</v>
      </c>
      <c r="AB20" s="16" t="n">
        <f aca="false">IF(N20=Reference!$A$36, Reference!$C$36, IF(N20=Reference!$A$35, Reference!$C$35, IF(N20=Reference!$A$34, Reference!$C$34, IF(N20=Reference!$A$33, Reference!$C$33, 0))))</f>
        <v>1</v>
      </c>
      <c r="AC20" s="16" t="n">
        <f aca="false">(Reference!$B$2*Y20 + Reference!$B$3*AA20 + Reference!$B$4*Z20 + Reference!$B$5 * AB20)/4</f>
        <v>2.8125</v>
      </c>
      <c r="AD20" s="16" t="n">
        <f aca="false">IF(Q20=Reference!$C$41, Reference!$D$41, IF(Q20=Reference!$C$42, Reference!$D$42, IF(Q20=Reference!$C$43, Reference!$D$43, IF(Q20=Reference!$C$44, Reference!$D$44, 0))))</f>
        <v>7</v>
      </c>
      <c r="AE20" s="16" t="n">
        <f aca="false">1 + (AC20 * AD20)</f>
        <v>20.6875</v>
      </c>
    </row>
    <row r="21" customFormat="false" ht="12.75" hidden="false" customHeight="true" outlineLevel="0" collapsed="false">
      <c r="A21" s="9" t="s">
        <v>261</v>
      </c>
      <c r="B21" s="10" t="s">
        <v>178</v>
      </c>
      <c r="C21" s="10" t="s">
        <v>165</v>
      </c>
      <c r="D21" s="11" t="s">
        <v>273</v>
      </c>
      <c r="E21" s="12" t="s">
        <v>274</v>
      </c>
      <c r="F21" s="10" t="s">
        <v>130</v>
      </c>
      <c r="G21" s="10" t="s">
        <v>275</v>
      </c>
      <c r="H21" s="10" t="s">
        <v>37</v>
      </c>
      <c r="I21" s="12" t="s">
        <v>276</v>
      </c>
      <c r="J21" s="10" t="s">
        <v>55</v>
      </c>
      <c r="K21" s="13" t="s">
        <v>277</v>
      </c>
      <c r="L21" s="10" t="s">
        <v>37</v>
      </c>
      <c r="M21" s="13" t="s">
        <v>278</v>
      </c>
      <c r="N21" s="10" t="s">
        <v>52</v>
      </c>
      <c r="O21" s="12" t="s">
        <v>279</v>
      </c>
      <c r="P21" s="22" t="str">
        <f aca="false">IF(AC21&gt;=Reference!$H$2, Reference!$G$2, IF(AC21&gt;=Reference!$H$3, Reference!$G$3, IF(AC21&gt;=Reference!$H$4, Reference!$G$4, IF(AC21&gt;=Reference!$H$5, Reference!$G$5, ""))))</f>
        <v>Moderate</v>
      </c>
      <c r="Q21" s="22" t="str">
        <f aca="false">IF(F21="Physical", "Very Low", IF(F21="Local", "Low", IF(F21="Adjacent", "Medium", IF(F21="Network", "High", ""))))</f>
        <v>Medium</v>
      </c>
      <c r="R21" s="22" t="str">
        <f aca="false">IF(AE21&gt;=Reference!$D$2, Reference!$G$2, IF(AE21&gt;=Reference!$D$3, Reference!$E$3, IF(AE21&gt;=Reference!$D$4, Reference!$E$4, IF(AE21&gt;=Reference!$D$5, Reference!$E$5, ""))))</f>
        <v>Medium</v>
      </c>
      <c r="S21" s="15" t="s">
        <v>43</v>
      </c>
      <c r="T21" s="12" t="s">
        <v>280</v>
      </c>
      <c r="U21" s="12" t="s">
        <v>281</v>
      </c>
      <c r="V21" s="12" t="s">
        <v>282</v>
      </c>
      <c r="W21" s="10" t="s">
        <v>283</v>
      </c>
      <c r="Y21" s="16" t="n">
        <f aca="false">IF(H21=Reference!$A$12, Reference!$C$12, IF(H21=Reference!$A$11, Reference!$C$11, IF(H21=Reference!$A$10, Reference!$C$10, IF(H21=Reference!$A$9, Reference!$C$9, 0))))</f>
        <v>1</v>
      </c>
      <c r="Z21" s="16" t="n">
        <f aca="false">IF(J21=Reference!$A$20, Reference!$C$20, IF(J21=Reference!$A$19, Reference!$C$19, IF(J21=Reference!$A$18, Reference!$C$18, IF(J21=Reference!$A$17, Reference!$C$17, 0))))</f>
        <v>7</v>
      </c>
      <c r="AA21" s="16" t="n">
        <f aca="false">IF(L21=Reference!$A$28, Reference!$C$28, IF(L21=Reference!$A$27, Reference!$C$27, IF(L21=Reference!$A$26, Reference!$C$26, IF(L21=Reference!$A$25, Reference!$C$25, 0))))</f>
        <v>1</v>
      </c>
      <c r="AB21" s="16" t="n">
        <f aca="false">IF(N21=Reference!$A$36, Reference!$C$36, IF(N21=Reference!$A$35, Reference!$C$35, IF(N21=Reference!$A$34, Reference!$C$34, IF(N21=Reference!$A$33, Reference!$C$33, 0))))</f>
        <v>10</v>
      </c>
      <c r="AC21" s="16" t="n">
        <f aca="false">(Reference!$B$2*Y21 + Reference!$B$3*AA21 + Reference!$B$4*Z21 + Reference!$B$5 * AB21)/4</f>
        <v>3</v>
      </c>
      <c r="AD21" s="16" t="n">
        <f aca="false">IF(Q21=Reference!$C$41, Reference!$D$41, IF(Q21=Reference!$C$42, Reference!$D$42, IF(Q21=Reference!$C$43, Reference!$D$43, IF(Q21=Reference!$C$44, Reference!$D$44, 0))))</f>
        <v>7</v>
      </c>
      <c r="AE21" s="16" t="n">
        <f aca="false">1 + (AC21 * AD21)</f>
        <v>22</v>
      </c>
    </row>
    <row r="22" customFormat="false" ht="12.75" hidden="false" customHeight="true" outlineLevel="0" collapsed="false">
      <c r="A22" s="9" t="s">
        <v>284</v>
      </c>
      <c r="B22" s="10" t="s">
        <v>31</v>
      </c>
      <c r="C22" s="10" t="s">
        <v>32</v>
      </c>
      <c r="D22" s="11" t="s">
        <v>285</v>
      </c>
      <c r="E22" s="12" t="s">
        <v>286</v>
      </c>
      <c r="F22" s="10" t="s">
        <v>130</v>
      </c>
      <c r="G22" s="10" t="s">
        <v>287</v>
      </c>
      <c r="H22" s="10" t="s">
        <v>39</v>
      </c>
      <c r="I22" s="12" t="s">
        <v>288</v>
      </c>
      <c r="J22" s="10" t="s">
        <v>55</v>
      </c>
      <c r="K22" s="13" t="s">
        <v>289</v>
      </c>
      <c r="L22" s="10" t="s">
        <v>52</v>
      </c>
      <c r="M22" s="13" t="s">
        <v>290</v>
      </c>
      <c r="N22" s="10" t="s">
        <v>39</v>
      </c>
      <c r="O22" s="12" t="s">
        <v>291</v>
      </c>
      <c r="P22" s="22" t="str">
        <f aca="false">IF(AC22&gt;=Reference!$H$2, Reference!$G$2, IF(AC22&gt;=Reference!$H$3, Reference!$G$3, IF(AC22&gt;=Reference!$H$4, Reference!$G$4, IF(AC22&gt;=Reference!$H$5, Reference!$G$5, ""))))</f>
        <v>Severe</v>
      </c>
      <c r="Q22" s="22" t="str">
        <f aca="false">IF(F22="Physical", "Very Low", IF(F22="Local", "Low", IF(F22="Adjacent", "Medium", IF(F22="Network", "High", ""))))</f>
        <v>Medium</v>
      </c>
      <c r="R22" s="22" t="str">
        <f aca="false">IF(AE22&gt;=Reference!$D$2, Reference!$G$2, IF(AE22&gt;=Reference!$D$3, Reference!$E$3, IF(AE22&gt;=Reference!$D$4, Reference!$E$4, IF(AE22&gt;=Reference!$D$5, Reference!$E$5, ""))))</f>
        <v>High</v>
      </c>
      <c r="S22" s="15" t="s">
        <v>43</v>
      </c>
      <c r="T22" s="12" t="s">
        <v>292</v>
      </c>
      <c r="U22" s="12" t="s">
        <v>293</v>
      </c>
      <c r="V22" s="12" t="s">
        <v>294</v>
      </c>
      <c r="W22" s="10" t="s">
        <v>295</v>
      </c>
      <c r="Y22" s="16" t="n">
        <f aca="false">IF(H22=Reference!$A$12, Reference!$C$12, IF(H22=Reference!$A$11, Reference!$C$11, IF(H22=Reference!$A$10, Reference!$C$10, IF(H22=Reference!$A$9, Reference!$C$9, 0))))</f>
        <v>4</v>
      </c>
      <c r="Z22" s="16" t="n">
        <f aca="false">IF(J22=Reference!$A$20, Reference!$C$20, IF(J22=Reference!$A$19, Reference!$C$19, IF(J22=Reference!$A$18, Reference!$C$18, IF(J22=Reference!$A$17, Reference!$C$17, 0))))</f>
        <v>7</v>
      </c>
      <c r="AA22" s="16" t="n">
        <f aca="false">IF(L22=Reference!$A$28, Reference!$C$28, IF(L22=Reference!$A$27, Reference!$C$27, IF(L22=Reference!$A$26, Reference!$C$26, IF(L22=Reference!$A$25, Reference!$C$25, 0))))</f>
        <v>10</v>
      </c>
      <c r="AB22" s="16" t="n">
        <f aca="false">IF(N22=Reference!$A$36, Reference!$C$36, IF(N22=Reference!$A$35, Reference!$C$35, IF(N22=Reference!$A$34, Reference!$C$34, IF(N22=Reference!$A$33, Reference!$C$33, 0))))</f>
        <v>4</v>
      </c>
      <c r="AC22" s="16" t="n">
        <f aca="false">(Reference!$B$2*Y22 + Reference!$B$3*AA22 + Reference!$B$4*Z22 + Reference!$B$5 * AB22)/4</f>
        <v>8.625</v>
      </c>
      <c r="AD22" s="16" t="n">
        <f aca="false">IF(Q22=Reference!$C$41, Reference!$D$41, IF(Q22=Reference!$C$42, Reference!$D$42, IF(Q22=Reference!$C$43, Reference!$D$43, IF(Q22=Reference!$C$44, Reference!$D$44, 0))))</f>
        <v>7</v>
      </c>
      <c r="AE22" s="16" t="n">
        <f aca="false">1 + (AC22 * AD22)</f>
        <v>61.375</v>
      </c>
    </row>
    <row r="23" customFormat="false" ht="12.75" hidden="false" customHeight="true" outlineLevel="0" collapsed="false">
      <c r="A23" s="9" t="s">
        <v>296</v>
      </c>
      <c r="B23" s="10" t="s">
        <v>31</v>
      </c>
      <c r="C23" s="10" t="s">
        <v>32</v>
      </c>
      <c r="D23" s="11" t="s">
        <v>297</v>
      </c>
      <c r="E23" s="12" t="s">
        <v>298</v>
      </c>
      <c r="F23" s="10" t="s">
        <v>130</v>
      </c>
      <c r="G23" s="10" t="s">
        <v>299</v>
      </c>
      <c r="H23" s="10" t="s">
        <v>55</v>
      </c>
      <c r="I23" s="12" t="s">
        <v>300</v>
      </c>
      <c r="J23" s="10" t="s">
        <v>52</v>
      </c>
      <c r="K23" s="13" t="s">
        <v>301</v>
      </c>
      <c r="L23" s="10" t="s">
        <v>55</v>
      </c>
      <c r="M23" s="13" t="s">
        <v>302</v>
      </c>
      <c r="N23" s="10" t="s">
        <v>39</v>
      </c>
      <c r="O23" s="12" t="s">
        <v>303</v>
      </c>
      <c r="P23" s="22" t="str">
        <f aca="false">IF(AC23&gt;=Reference!$H$2, Reference!$G$2, IF(AC23&gt;=Reference!$H$3, Reference!$G$3, IF(AC23&gt;=Reference!$H$4, Reference!$G$4, IF(AC23&gt;=Reference!$H$5, Reference!$G$5, ""))))</f>
        <v>Severe</v>
      </c>
      <c r="Q23" s="22" t="str">
        <f aca="false">IF(F23="Physical", "Very Low", IF(F23="Local", "Low", IF(F23="Adjacent", "Medium", IF(F23="Network", "High", ""))))</f>
        <v>Medium</v>
      </c>
      <c r="R23" s="22" t="str">
        <f aca="false">IF(AE23&gt;=Reference!$D$2, Reference!$G$2, IF(AE23&gt;=Reference!$D$3, Reference!$E$3, IF(AE23&gt;=Reference!$D$4, Reference!$E$4, IF(AE23&gt;=Reference!$D$5, Reference!$E$5, ""))))</f>
        <v>High</v>
      </c>
      <c r="S23" s="15" t="s">
        <v>43</v>
      </c>
      <c r="T23" s="12" t="s">
        <v>304</v>
      </c>
      <c r="U23" s="12" t="s">
        <v>305</v>
      </c>
      <c r="V23" s="12" t="s">
        <v>306</v>
      </c>
      <c r="W23" s="10" t="s">
        <v>307</v>
      </c>
      <c r="Y23" s="16" t="n">
        <f aca="false">IF(H23=Reference!$A$12, Reference!$C$12, IF(H23=Reference!$A$11, Reference!$C$11, IF(H23=Reference!$A$10, Reference!$C$10, IF(H23=Reference!$A$9, Reference!$C$9, 0))))</f>
        <v>7</v>
      </c>
      <c r="Z23" s="16" t="n">
        <f aca="false">IF(J23=Reference!$A$20, Reference!$C$20, IF(J23=Reference!$A$19, Reference!$C$19, IF(J23=Reference!$A$18, Reference!$C$18, IF(J23=Reference!$A$17, Reference!$C$17, 0))))</f>
        <v>10</v>
      </c>
      <c r="AA23" s="16" t="n">
        <f aca="false">IF(L23=Reference!$A$28, Reference!$C$28, IF(L23=Reference!$A$27, Reference!$C$27, IF(L23=Reference!$A$26, Reference!$C$26, IF(L23=Reference!$A$25, Reference!$C$25, 0))))</f>
        <v>7</v>
      </c>
      <c r="AB23" s="16" t="n">
        <f aca="false">IF(N23=Reference!$A$36, Reference!$C$36, IF(N23=Reference!$A$35, Reference!$C$35, IF(N23=Reference!$A$34, Reference!$C$34, IF(N23=Reference!$A$33, Reference!$C$33, 0))))</f>
        <v>4</v>
      </c>
      <c r="AC23" s="16" t="n">
        <f aca="false">(Reference!$B$2*Y23 + Reference!$B$3*AA23 + Reference!$B$4*Z23 + Reference!$B$5 * AB23)/4</f>
        <v>12</v>
      </c>
      <c r="AD23" s="16" t="n">
        <f aca="false">IF(Q23=Reference!$C$41, Reference!$D$41, IF(Q23=Reference!$C$42, Reference!$D$42, IF(Q23=Reference!$C$43, Reference!$D$43, IF(Q23=Reference!$C$44, Reference!$D$44, 0))))</f>
        <v>7</v>
      </c>
      <c r="AE23" s="16" t="n">
        <f aca="false">1 + (AC23 * AD23)</f>
        <v>85</v>
      </c>
    </row>
    <row r="24" customFormat="false" ht="12.75" hidden="false" customHeight="true" outlineLevel="0" collapsed="false">
      <c r="A24" s="9" t="s">
        <v>296</v>
      </c>
      <c r="B24" s="10" t="s">
        <v>87</v>
      </c>
      <c r="C24" s="10" t="s">
        <v>32</v>
      </c>
      <c r="D24" s="11" t="s">
        <v>308</v>
      </c>
      <c r="E24" s="12" t="s">
        <v>309</v>
      </c>
      <c r="F24" s="10" t="s">
        <v>130</v>
      </c>
      <c r="G24" s="10" t="s">
        <v>310</v>
      </c>
      <c r="H24" s="10" t="s">
        <v>39</v>
      </c>
      <c r="I24" s="12" t="s">
        <v>311</v>
      </c>
      <c r="J24" s="10" t="s">
        <v>52</v>
      </c>
      <c r="K24" s="13" t="s">
        <v>312</v>
      </c>
      <c r="L24" s="10" t="s">
        <v>55</v>
      </c>
      <c r="M24" s="13" t="s">
        <v>313</v>
      </c>
      <c r="N24" s="10" t="s">
        <v>39</v>
      </c>
      <c r="O24" s="12" t="s">
        <v>314</v>
      </c>
      <c r="P24" s="22" t="str">
        <f aca="false">IF(AC24&gt;=Reference!$H$2, Reference!$G$2, IF(AC24&gt;=Reference!$H$3, Reference!$G$3, IF(AC24&gt;=Reference!$H$4, Reference!$G$4, IF(AC24&gt;=Reference!$H$5, Reference!$G$5, ""))))</f>
        <v>Major</v>
      </c>
      <c r="Q24" s="22" t="str">
        <f aca="false">IF(F24="Physical", "Very Low", IF(F24="Local", "Low", IF(F24="Adjacent", "Medium", IF(F24="Network", "High", ""))))</f>
        <v>Medium</v>
      </c>
      <c r="R24" s="22" t="str">
        <f aca="false">IF(AE24&gt;=Reference!$D$2, Reference!$G$2, IF(AE24&gt;=Reference!$D$3, Reference!$E$3, IF(AE24&gt;=Reference!$D$4, Reference!$E$4, IF(AE24&gt;=Reference!$D$5, Reference!$E$5, ""))))</f>
        <v>High</v>
      </c>
      <c r="S24" s="15" t="s">
        <v>43</v>
      </c>
      <c r="T24" s="12" t="s">
        <v>315</v>
      </c>
      <c r="U24" s="12" t="s">
        <v>316</v>
      </c>
      <c r="V24" s="12" t="s">
        <v>317</v>
      </c>
      <c r="W24" s="10" t="s">
        <v>318</v>
      </c>
      <c r="Y24" s="16" t="n">
        <f aca="false">IF(H24=Reference!$A$12, Reference!$C$12, IF(H24=Reference!$A$11, Reference!$C$11, IF(H24=Reference!$A$10, Reference!$C$10, IF(H24=Reference!$A$9, Reference!$C$9, 0))))</f>
        <v>4</v>
      </c>
      <c r="Z24" s="16" t="n">
        <f aca="false">IF(J24=Reference!$A$20, Reference!$C$20, IF(J24=Reference!$A$19, Reference!$C$19, IF(J24=Reference!$A$18, Reference!$C$18, IF(J24=Reference!$A$17, Reference!$C$17, 0))))</f>
        <v>10</v>
      </c>
      <c r="AA24" s="16" t="n">
        <f aca="false">IF(L24=Reference!$A$28, Reference!$C$28, IF(L24=Reference!$A$27, Reference!$C$27, IF(L24=Reference!$A$26, Reference!$C$26, IF(L24=Reference!$A$25, Reference!$C$25, 0))))</f>
        <v>7</v>
      </c>
      <c r="AB24" s="16" t="n">
        <f aca="false">IF(N24=Reference!$A$36, Reference!$C$36, IF(N24=Reference!$A$35, Reference!$C$35, IF(N24=Reference!$A$34, Reference!$C$34, IF(N24=Reference!$A$33, Reference!$C$33, 0))))</f>
        <v>4</v>
      </c>
      <c r="AC24" s="16" t="n">
        <f aca="false">(Reference!$B$2*Y24 + Reference!$B$3*AA24 + Reference!$B$4*Z24 + Reference!$B$5 * AB24)/4</f>
        <v>8.25</v>
      </c>
      <c r="AD24" s="16" t="n">
        <f aca="false">IF(Q24=Reference!$C$41, Reference!$D$41, IF(Q24=Reference!$C$42, Reference!$D$42, IF(Q24=Reference!$C$43, Reference!$D$43, IF(Q24=Reference!$C$44, Reference!$D$44, 0))))</f>
        <v>7</v>
      </c>
      <c r="AE24" s="16" t="n">
        <f aca="false">1 + (AC24 * AD24)</f>
        <v>58.75</v>
      </c>
    </row>
    <row r="25" customFormat="false" ht="12.75" hidden="false" customHeight="true" outlineLevel="0" collapsed="false">
      <c r="A25" s="9" t="s">
        <v>319</v>
      </c>
      <c r="B25" s="10" t="s">
        <v>178</v>
      </c>
      <c r="C25" s="10" t="s">
        <v>165</v>
      </c>
      <c r="D25" s="11" t="s">
        <v>320</v>
      </c>
      <c r="E25" s="12" t="s">
        <v>321</v>
      </c>
      <c r="F25" s="10" t="s">
        <v>50</v>
      </c>
      <c r="G25" s="10" t="s">
        <v>322</v>
      </c>
      <c r="H25" s="10" t="s">
        <v>37</v>
      </c>
      <c r="I25" s="12" t="s">
        <v>323</v>
      </c>
      <c r="J25" s="10" t="s">
        <v>55</v>
      </c>
      <c r="K25" s="13" t="s">
        <v>324</v>
      </c>
      <c r="L25" s="10" t="s">
        <v>37</v>
      </c>
      <c r="M25" s="13" t="s">
        <v>278</v>
      </c>
      <c r="N25" s="10" t="s">
        <v>55</v>
      </c>
      <c r="O25" s="12" t="s">
        <v>325</v>
      </c>
      <c r="P25" s="22" t="str">
        <f aca="false">IF(AC25&gt;=Reference!$H$2, Reference!$G$2, IF(AC25&gt;=Reference!$H$3, Reference!$G$3, IF(AC25&gt;=Reference!$H$4, Reference!$G$4, IF(AC25&gt;=Reference!$H$5, Reference!$G$5, ""))))</f>
        <v>Moderate</v>
      </c>
      <c r="Q25" s="22" t="str">
        <f aca="false">IF(F25="Physical", "Very Low", IF(F25="Local", "Low", IF(F25="Adjacent", "Medium", IF(F25="Network", "High", ""))))</f>
        <v>Very Low</v>
      </c>
      <c r="R25" s="22" t="str">
        <f aca="false">IF(AE25&gt;=Reference!$D$2, Reference!$G$2, IF(AE25&gt;=Reference!$D$3, Reference!$E$3, IF(AE25&gt;=Reference!$D$4, Reference!$E$4, IF(AE25&gt;=Reference!$D$5, Reference!$E$5, ""))))</f>
        <v>Low</v>
      </c>
      <c r="S25" s="15" t="s">
        <v>43</v>
      </c>
      <c r="T25" s="12" t="s">
        <v>326</v>
      </c>
      <c r="U25" s="12" t="s">
        <v>327</v>
      </c>
      <c r="V25" s="12" t="s">
        <v>328</v>
      </c>
      <c r="W25" s="10" t="s">
        <v>329</v>
      </c>
      <c r="Y25" s="16" t="n">
        <f aca="false">IF(H25=Reference!$A$12, Reference!$C$12, IF(H25=Reference!$A$11, Reference!$C$11, IF(H25=Reference!$A$10, Reference!$C$10, IF(H25=Reference!$A$9, Reference!$C$9, 0))))</f>
        <v>1</v>
      </c>
      <c r="Z25" s="16" t="n">
        <f aca="false">IF(J25=Reference!$A$20, Reference!$C$20, IF(J25=Reference!$A$19, Reference!$C$19, IF(J25=Reference!$A$18, Reference!$C$18, IF(J25=Reference!$A$17, Reference!$C$17, 0))))</f>
        <v>7</v>
      </c>
      <c r="AA25" s="16" t="n">
        <f aca="false">IF(L25=Reference!$A$28, Reference!$C$28, IF(L25=Reference!$A$27, Reference!$C$27, IF(L25=Reference!$A$26, Reference!$C$26, IF(L25=Reference!$A$25, Reference!$C$25, 0))))</f>
        <v>1</v>
      </c>
      <c r="AB25" s="16" t="n">
        <f aca="false">IF(N25=Reference!$A$36, Reference!$C$36, IF(N25=Reference!$A$35, Reference!$C$35, IF(N25=Reference!$A$34, Reference!$C$34, IF(N25=Reference!$A$33, Reference!$C$33, 0))))</f>
        <v>7</v>
      </c>
      <c r="AC25" s="16" t="n">
        <f aca="false">(Reference!$B$2*Y25 + Reference!$B$3*AA25 + Reference!$B$4*Z25 + Reference!$B$5 * AB25)/4</f>
        <v>2.8125</v>
      </c>
      <c r="AD25" s="16" t="n">
        <f aca="false">IF(Q25=Reference!$C$41, Reference!$D$41, IF(Q25=Reference!$C$42, Reference!$D$42, IF(Q25=Reference!$C$43, Reference!$D$43, IF(Q25=Reference!$C$44, Reference!$D$44, 0))))</f>
        <v>1</v>
      </c>
      <c r="AE25" s="16" t="n">
        <f aca="false">1 + (AC25 * AD25)</f>
        <v>3.8125</v>
      </c>
    </row>
    <row r="26" customFormat="false" ht="12.75" hidden="false" customHeight="true" outlineLevel="0" collapsed="false">
      <c r="A26" s="9" t="s">
        <v>330</v>
      </c>
      <c r="B26" s="10" t="s">
        <v>87</v>
      </c>
      <c r="C26" s="10" t="s">
        <v>32</v>
      </c>
      <c r="D26" s="11" t="s">
        <v>331</v>
      </c>
      <c r="E26" s="12" t="s">
        <v>332</v>
      </c>
      <c r="F26" s="10" t="s">
        <v>35</v>
      </c>
      <c r="G26" s="10" t="s">
        <v>333</v>
      </c>
      <c r="H26" s="10" t="s">
        <v>39</v>
      </c>
      <c r="I26" s="12" t="s">
        <v>334</v>
      </c>
      <c r="J26" s="10" t="s">
        <v>52</v>
      </c>
      <c r="K26" s="13" t="s">
        <v>335</v>
      </c>
      <c r="L26" s="10" t="s">
        <v>52</v>
      </c>
      <c r="M26" s="13" t="s">
        <v>336</v>
      </c>
      <c r="N26" s="10" t="s">
        <v>55</v>
      </c>
      <c r="O26" s="12" t="s">
        <v>337</v>
      </c>
      <c r="P26" s="22" t="str">
        <f aca="false">IF(AC26&gt;=Reference!$H$2, Reference!$G$2, IF(AC26&gt;=Reference!$H$3, Reference!$G$3, IF(AC26&gt;=Reference!$H$4, Reference!$G$4, IF(AC26&gt;=Reference!$H$5, Reference!$G$5, ""))))</f>
        <v>Severe</v>
      </c>
      <c r="Q26" s="22" t="str">
        <f aca="false">IF(F26="Physical", "Very Low", IF(F26="Local", "Low", IF(F26="Adjacent", "Medium", IF(F26="Network", "High", ""))))</f>
        <v>High</v>
      </c>
      <c r="R26" s="22" t="str">
        <f aca="false">IF(AE26&gt;=Reference!$D$2, Reference!$G$2, IF(AE26&gt;=Reference!$D$3, Reference!$E$3, IF(AE26&gt;=Reference!$D$4, Reference!$E$4, IF(AE26&gt;=Reference!$D$5, Reference!$E$5, ""))))</f>
        <v>High</v>
      </c>
      <c r="S26" s="15" t="s">
        <v>43</v>
      </c>
      <c r="T26" s="12" t="s">
        <v>338</v>
      </c>
      <c r="U26" s="12" t="s">
        <v>339</v>
      </c>
      <c r="V26" s="12" t="s">
        <v>340</v>
      </c>
      <c r="W26" s="10" t="s">
        <v>341</v>
      </c>
      <c r="Y26" s="16" t="n">
        <f aca="false">IF(H26=Reference!$A$12, Reference!$C$12, IF(H26=Reference!$A$11, Reference!$C$11, IF(H26=Reference!$A$10, Reference!$C$10, IF(H26=Reference!$A$9, Reference!$C$9, 0))))</f>
        <v>4</v>
      </c>
      <c r="Z26" s="16" t="n">
        <f aca="false">IF(J26=Reference!$A$20, Reference!$C$20, IF(J26=Reference!$A$19, Reference!$C$19, IF(J26=Reference!$A$18, Reference!$C$18, IF(J26=Reference!$A$17, Reference!$C$17, 0))))</f>
        <v>10</v>
      </c>
      <c r="AA26" s="16" t="n">
        <f aca="false">IF(L26=Reference!$A$28, Reference!$C$28, IF(L26=Reference!$A$27, Reference!$C$27, IF(L26=Reference!$A$26, Reference!$C$26, IF(L26=Reference!$A$25, Reference!$C$25, 0))))</f>
        <v>10</v>
      </c>
      <c r="AB26" s="16" t="n">
        <f aca="false">IF(N26=Reference!$A$36, Reference!$C$36, IF(N26=Reference!$A$35, Reference!$C$35, IF(N26=Reference!$A$34, Reference!$C$34, IF(N26=Reference!$A$33, Reference!$C$33, 0))))</f>
        <v>7</v>
      </c>
      <c r="AC26" s="16" t="n">
        <f aca="false">(Reference!$B$2*Y26 + Reference!$B$3*AA26 + Reference!$B$4*Z26 + Reference!$B$5 * AB26)/4</f>
        <v>9.1875</v>
      </c>
      <c r="AD26" s="16" t="n">
        <f aca="false">IF(Q26=Reference!$C$41, Reference!$D$41, IF(Q26=Reference!$C$42, Reference!$D$42, IF(Q26=Reference!$C$43, Reference!$D$43, IF(Q26=Reference!$C$44, Reference!$D$44, 0))))</f>
        <v>10</v>
      </c>
      <c r="AE26" s="16" t="n">
        <f aca="false">1 + (AC26 * AD26)</f>
        <v>92.875</v>
      </c>
    </row>
    <row r="27" customFormat="false" ht="12.75" hidden="false" customHeight="true" outlineLevel="0" collapsed="false">
      <c r="A27" s="9" t="s">
        <v>330</v>
      </c>
      <c r="B27" s="10" t="s">
        <v>178</v>
      </c>
      <c r="C27" s="10" t="s">
        <v>165</v>
      </c>
      <c r="D27" s="11" t="s">
        <v>342</v>
      </c>
      <c r="E27" s="12" t="s">
        <v>343</v>
      </c>
      <c r="F27" s="10" t="s">
        <v>35</v>
      </c>
      <c r="G27" s="10" t="s">
        <v>344</v>
      </c>
      <c r="H27" s="10" t="s">
        <v>37</v>
      </c>
      <c r="I27" s="12" t="s">
        <v>345</v>
      </c>
      <c r="J27" s="10" t="s">
        <v>52</v>
      </c>
      <c r="K27" s="13" t="s">
        <v>346</v>
      </c>
      <c r="L27" s="10" t="s">
        <v>39</v>
      </c>
      <c r="M27" s="13" t="s">
        <v>347</v>
      </c>
      <c r="N27" s="10" t="s">
        <v>52</v>
      </c>
      <c r="O27" s="12" t="s">
        <v>348</v>
      </c>
      <c r="P27" s="22" t="str">
        <f aca="false">IF(AC27&gt;=Reference!$H$2, Reference!$G$2, IF(AC27&gt;=Reference!$H$3, Reference!$G$3, IF(AC27&gt;=Reference!$H$4, Reference!$G$4, IF(AC27&gt;=Reference!$H$5, Reference!$G$5, ""))))</f>
        <v>Moderate</v>
      </c>
      <c r="Q27" s="22" t="str">
        <f aca="false">IF(F27="Physical", "Very Low", IF(F27="Local", "Low", IF(F27="Adjacent", "Medium", IF(F27="Network", "High", ""))))</f>
        <v>High</v>
      </c>
      <c r="R27" s="22" t="str">
        <f aca="false">IF(AE27&gt;=Reference!$D$2, Reference!$G$2, IF(AE27&gt;=Reference!$D$3, Reference!$E$3, IF(AE27&gt;=Reference!$D$4, Reference!$E$4, IF(AE27&gt;=Reference!$D$5, Reference!$E$5, ""))))</f>
        <v>Medium</v>
      </c>
      <c r="S27" s="15" t="s">
        <v>43</v>
      </c>
      <c r="T27" s="12" t="s">
        <v>349</v>
      </c>
      <c r="U27" s="12" t="s">
        <v>350</v>
      </c>
      <c r="V27" s="12" t="s">
        <v>351</v>
      </c>
      <c r="W27" s="10" t="s">
        <v>352</v>
      </c>
      <c r="Y27" s="16" t="n">
        <f aca="false">IF(H27=Reference!$A$12, Reference!$C$12, IF(H27=Reference!$A$11, Reference!$C$11, IF(H27=Reference!$A$10, Reference!$C$10, IF(H27=Reference!$A$9, Reference!$C$9, 0))))</f>
        <v>1</v>
      </c>
      <c r="Z27" s="16" t="n">
        <f aca="false">IF(J27=Reference!$A$20, Reference!$C$20, IF(J27=Reference!$A$19, Reference!$C$19, IF(J27=Reference!$A$18, Reference!$C$18, IF(J27=Reference!$A$17, Reference!$C$17, 0))))</f>
        <v>10</v>
      </c>
      <c r="AA27" s="16" t="n">
        <f aca="false">IF(L27=Reference!$A$28, Reference!$C$28, IF(L27=Reference!$A$27, Reference!$C$27, IF(L27=Reference!$A$26, Reference!$C$26, IF(L27=Reference!$A$25, Reference!$C$25, 0))))</f>
        <v>4</v>
      </c>
      <c r="AB27" s="16" t="n">
        <f aca="false">IF(N27=Reference!$A$36, Reference!$C$36, IF(N27=Reference!$A$35, Reference!$C$35, IF(N27=Reference!$A$34, Reference!$C$34, IF(N27=Reference!$A$33, Reference!$C$33, 0))))</f>
        <v>10</v>
      </c>
      <c r="AC27" s="16" t="n">
        <f aca="false">(Reference!$B$2*Y27 + Reference!$B$3*AA27 + Reference!$B$4*Z27 + Reference!$B$5 * AB27)/4</f>
        <v>4.125</v>
      </c>
      <c r="AD27" s="16" t="n">
        <f aca="false">IF(Q27=Reference!$C$41, Reference!$D$41, IF(Q27=Reference!$C$42, Reference!$D$42, IF(Q27=Reference!$C$43, Reference!$D$43, IF(Q27=Reference!$C$44, Reference!$D$44, 0))))</f>
        <v>10</v>
      </c>
      <c r="AE27" s="16" t="n">
        <f aca="false">1 + (AC27 * AD27)</f>
        <v>42.25</v>
      </c>
    </row>
    <row r="28" customFormat="false" ht="12.75" hidden="false" customHeight="true" outlineLevel="0" collapsed="false">
      <c r="A28" s="9" t="s">
        <v>353</v>
      </c>
      <c r="B28" s="10" t="s">
        <v>127</v>
      </c>
      <c r="C28" s="10" t="s">
        <v>32</v>
      </c>
      <c r="D28" s="11" t="s">
        <v>354</v>
      </c>
      <c r="E28" s="12" t="s">
        <v>355</v>
      </c>
      <c r="F28" s="10" t="s">
        <v>35</v>
      </c>
      <c r="G28" s="10" t="s">
        <v>356</v>
      </c>
      <c r="H28" s="10" t="s">
        <v>39</v>
      </c>
      <c r="I28" s="12" t="s">
        <v>357</v>
      </c>
      <c r="J28" s="10" t="s">
        <v>39</v>
      </c>
      <c r="K28" s="13" t="s">
        <v>358</v>
      </c>
      <c r="L28" s="10" t="s">
        <v>55</v>
      </c>
      <c r="M28" s="13" t="s">
        <v>359</v>
      </c>
      <c r="N28" s="10" t="s">
        <v>55</v>
      </c>
      <c r="O28" s="12" t="s">
        <v>360</v>
      </c>
      <c r="P28" s="22" t="str">
        <f aca="false">IF(AC28&gt;=Reference!$H$2, Reference!$G$2, IF(AC28&gt;=Reference!$H$3, Reference!$G$3, IF(AC28&gt;=Reference!$H$4, Reference!$G$4, IF(AC28&gt;=Reference!$H$5, Reference!$G$5, ""))))</f>
        <v>Major</v>
      </c>
      <c r="Q28" s="22" t="str">
        <f aca="false">IF(F28="Physical", "Very Low", IF(F28="Local", "Low", IF(F28="Adjacent", "Medium", IF(F28="Network", "High", ""))))</f>
        <v>High</v>
      </c>
      <c r="R28" s="22" t="str">
        <f aca="false">IF(AE28&gt;=Reference!$D$2, Reference!$G$2, IF(AE28&gt;=Reference!$D$3, Reference!$E$3, IF(AE28&gt;=Reference!$D$4, Reference!$E$4, IF(AE28&gt;=Reference!$D$5, Reference!$E$5, ""))))</f>
        <v>High</v>
      </c>
      <c r="S28" s="15" t="s">
        <v>43</v>
      </c>
      <c r="T28" s="12" t="s">
        <v>361</v>
      </c>
      <c r="U28" s="12" t="s">
        <v>362</v>
      </c>
      <c r="V28" s="12" t="s">
        <v>363</v>
      </c>
      <c r="W28" s="10" t="s">
        <v>364</v>
      </c>
      <c r="Y28" s="16" t="n">
        <f aca="false">IF(H28=Reference!$A$12, Reference!$C$12, IF(H28=Reference!$A$11, Reference!$C$11, IF(H28=Reference!$A$10, Reference!$C$10, IF(H28=Reference!$A$9, Reference!$C$9, 0))))</f>
        <v>4</v>
      </c>
      <c r="Z28" s="16" t="n">
        <f aca="false">IF(J28=Reference!$A$20, Reference!$C$20, IF(J28=Reference!$A$19, Reference!$C$19, IF(J28=Reference!$A$18, Reference!$C$18, IF(J28=Reference!$A$17, Reference!$C$17, 0))))</f>
        <v>4</v>
      </c>
      <c r="AA28" s="16" t="n">
        <f aca="false">IF(L28=Reference!$A$28, Reference!$C$28, IF(L28=Reference!$A$27, Reference!$C$27, IF(L28=Reference!$A$26, Reference!$C$26, IF(L28=Reference!$A$25, Reference!$C$25, 0))))</f>
        <v>7</v>
      </c>
      <c r="AB28" s="16" t="n">
        <f aca="false">IF(N28=Reference!$A$36, Reference!$C$36, IF(N28=Reference!$A$35, Reference!$C$35, IF(N28=Reference!$A$34, Reference!$C$34, IF(N28=Reference!$A$33, Reference!$C$33, 0))))</f>
        <v>7</v>
      </c>
      <c r="AC28" s="16" t="n">
        <f aca="false">(Reference!$B$2*Y28 + Reference!$B$3*AA28 + Reference!$B$4*Z28 + Reference!$B$5 * AB28)/4</f>
        <v>7.6875</v>
      </c>
      <c r="AD28" s="16" t="n">
        <f aca="false">IF(Q28=Reference!$C$41, Reference!$D$41, IF(Q28=Reference!$C$42, Reference!$D$42, IF(Q28=Reference!$C$43, Reference!$D$43, IF(Q28=Reference!$C$44, Reference!$D$44, 0))))</f>
        <v>10</v>
      </c>
      <c r="AE28" s="16" t="n">
        <f aca="false">1 + (AC28 * AD28)</f>
        <v>77.875</v>
      </c>
    </row>
    <row r="29" customFormat="false" ht="12.75" hidden="false" customHeight="true" outlineLevel="0" collapsed="false">
      <c r="A29" s="9" t="s">
        <v>365</v>
      </c>
      <c r="B29" s="10" t="s">
        <v>127</v>
      </c>
      <c r="C29" s="10" t="s">
        <v>32</v>
      </c>
      <c r="D29" s="11" t="s">
        <v>366</v>
      </c>
      <c r="E29" s="12" t="s">
        <v>367</v>
      </c>
      <c r="F29" s="10" t="s">
        <v>35</v>
      </c>
      <c r="G29" s="10" t="s">
        <v>368</v>
      </c>
      <c r="H29" s="10" t="s">
        <v>37</v>
      </c>
      <c r="I29" s="12" t="s">
        <v>369</v>
      </c>
      <c r="J29" s="10" t="s">
        <v>55</v>
      </c>
      <c r="K29" s="13" t="s">
        <v>370</v>
      </c>
      <c r="L29" s="10" t="s">
        <v>39</v>
      </c>
      <c r="M29" s="13" t="s">
        <v>371</v>
      </c>
      <c r="N29" s="10" t="s">
        <v>55</v>
      </c>
      <c r="O29" s="12" t="s">
        <v>372</v>
      </c>
      <c r="P29" s="22" t="str">
        <f aca="false">IF(AC29&gt;=Reference!$H$2, Reference!$G$2, IF(AC29&gt;=Reference!$H$3, Reference!$G$3, IF(AC29&gt;=Reference!$H$4, Reference!$G$4, IF(AC29&gt;=Reference!$H$5, Reference!$G$5, ""))))</f>
        <v>Moderate</v>
      </c>
      <c r="Q29" s="22" t="str">
        <f aca="false">IF(F29="Physical", "Very Low", IF(F29="Local", "Low", IF(F29="Adjacent", "Medium", IF(F29="Network", "High", ""))))</f>
        <v>High</v>
      </c>
      <c r="R29" s="22" t="str">
        <f aca="false">IF(AE29&gt;=Reference!$D$2, Reference!$G$2, IF(AE29&gt;=Reference!$D$3, Reference!$E$3, IF(AE29&gt;=Reference!$D$4, Reference!$E$4, IF(AE29&gt;=Reference!$D$5, Reference!$E$5, ""))))</f>
        <v>Medium</v>
      </c>
      <c r="S29" s="15" t="s">
        <v>43</v>
      </c>
      <c r="T29" s="12" t="s">
        <v>373</v>
      </c>
      <c r="U29" s="12" t="s">
        <v>374</v>
      </c>
      <c r="V29" s="12" t="s">
        <v>375</v>
      </c>
      <c r="W29" s="10" t="s">
        <v>376</v>
      </c>
      <c r="Y29" s="16" t="n">
        <f aca="false">IF(H29=Reference!$A$12, Reference!$C$12, IF(H29=Reference!$A$11, Reference!$C$11, IF(H29=Reference!$A$10, Reference!$C$10, IF(H29=Reference!$A$9, Reference!$C$9, 0))))</f>
        <v>1</v>
      </c>
      <c r="Z29" s="16" t="n">
        <f aca="false">IF(J29=Reference!$A$20, Reference!$C$20, IF(J29=Reference!$A$19, Reference!$C$19, IF(J29=Reference!$A$18, Reference!$C$18, IF(J29=Reference!$A$17, Reference!$C$17, 0))))</f>
        <v>7</v>
      </c>
      <c r="AA29" s="16" t="n">
        <f aca="false">IF(L29=Reference!$A$28, Reference!$C$28, IF(L29=Reference!$A$27, Reference!$C$27, IF(L29=Reference!$A$26, Reference!$C$26, IF(L29=Reference!$A$25, Reference!$C$25, 0))))</f>
        <v>4</v>
      </c>
      <c r="AB29" s="16" t="n">
        <f aca="false">IF(N29=Reference!$A$36, Reference!$C$36, IF(N29=Reference!$A$35, Reference!$C$35, IF(N29=Reference!$A$34, Reference!$C$34, IF(N29=Reference!$A$33, Reference!$C$33, 0))))</f>
        <v>7</v>
      </c>
      <c r="AC29" s="16" t="n">
        <f aca="false">(Reference!$B$2*Y29 + Reference!$B$3*AA29 + Reference!$B$4*Z29 + Reference!$B$5 * AB29)/4</f>
        <v>3.5625</v>
      </c>
      <c r="AD29" s="16" t="n">
        <f aca="false">IF(Q29=Reference!$C$41, Reference!$D$41, IF(Q29=Reference!$C$42, Reference!$D$42, IF(Q29=Reference!$C$43, Reference!$D$43, IF(Q29=Reference!$C$44, Reference!$D$44, 0))))</f>
        <v>10</v>
      </c>
      <c r="AE29" s="16" t="n">
        <f aca="false">1 + (AC29 * AD29)</f>
        <v>36.625</v>
      </c>
    </row>
    <row r="30" customFormat="false" ht="12.75" hidden="false" customHeight="true" outlineLevel="0" collapsed="false">
      <c r="A30" s="9" t="s">
        <v>377</v>
      </c>
      <c r="B30" s="10" t="s">
        <v>100</v>
      </c>
      <c r="C30" s="10" t="s">
        <v>101</v>
      </c>
      <c r="D30" s="11" t="s">
        <v>378</v>
      </c>
      <c r="E30" s="12" t="s">
        <v>379</v>
      </c>
      <c r="F30" s="10" t="s">
        <v>35</v>
      </c>
      <c r="G30" s="10" t="s">
        <v>380</v>
      </c>
      <c r="H30" s="10" t="s">
        <v>55</v>
      </c>
      <c r="I30" s="12" t="s">
        <v>381</v>
      </c>
      <c r="J30" s="10" t="s">
        <v>55</v>
      </c>
      <c r="K30" s="13" t="s">
        <v>382</v>
      </c>
      <c r="L30" s="10" t="s">
        <v>52</v>
      </c>
      <c r="M30" s="13" t="s">
        <v>383</v>
      </c>
      <c r="N30" s="10" t="s">
        <v>37</v>
      </c>
      <c r="O30" s="12" t="s">
        <v>384</v>
      </c>
      <c r="P30" s="22" t="str">
        <f aca="false">IF(AC30&gt;=Reference!$H$2, Reference!$G$2, IF(AC30&gt;=Reference!$H$3, Reference!$G$3, IF(AC30&gt;=Reference!$H$4, Reference!$G$4, IF(AC30&gt;=Reference!$H$5, Reference!$G$5, ""))))</f>
        <v>Severe</v>
      </c>
      <c r="Q30" s="22" t="str">
        <f aca="false">IF(F30="Physical", "Very Low", IF(F30="Local", "Low", IF(F30="Adjacent", "Medium", IF(F30="Network", "High", ""))))</f>
        <v>High</v>
      </c>
      <c r="R30" s="22" t="str">
        <f aca="false">IF(AE30&gt;=Reference!$D$2, Reference!$G$2, IF(AE30&gt;=Reference!$D$3, Reference!$E$3, IF(AE30&gt;=Reference!$D$4, Reference!$E$4, IF(AE30&gt;=Reference!$D$5, Reference!$E$5, ""))))</f>
        <v>Severe</v>
      </c>
      <c r="S30" s="15" t="s">
        <v>43</v>
      </c>
      <c r="T30" s="12" t="s">
        <v>385</v>
      </c>
      <c r="U30" s="12" t="s">
        <v>386</v>
      </c>
      <c r="V30" s="12" t="s">
        <v>387</v>
      </c>
      <c r="W30" s="10" t="s">
        <v>388</v>
      </c>
      <c r="Y30" s="16" t="n">
        <f aca="false">IF(H30=Reference!$A$12, Reference!$C$12, IF(H30=Reference!$A$11, Reference!$C$11, IF(H30=Reference!$A$10, Reference!$C$10, IF(H30=Reference!$A$9, Reference!$C$9, 0))))</f>
        <v>7</v>
      </c>
      <c r="Z30" s="16" t="n">
        <f aca="false">IF(J30=Reference!$A$20, Reference!$C$20, IF(J30=Reference!$A$19, Reference!$C$19, IF(J30=Reference!$A$18, Reference!$C$18, IF(J30=Reference!$A$17, Reference!$C$17, 0))))</f>
        <v>7</v>
      </c>
      <c r="AA30" s="16" t="n">
        <f aca="false">IF(L30=Reference!$A$28, Reference!$C$28, IF(L30=Reference!$A$27, Reference!$C$27, IF(L30=Reference!$A$26, Reference!$C$26, IF(L30=Reference!$A$25, Reference!$C$25, 0))))</f>
        <v>10</v>
      </c>
      <c r="AB30" s="16" t="n">
        <f aca="false">IF(N30=Reference!$A$36, Reference!$C$36, IF(N30=Reference!$A$35, Reference!$C$35, IF(N30=Reference!$A$34, Reference!$C$34, IF(N30=Reference!$A$33, Reference!$C$33, 0))))</f>
        <v>1</v>
      </c>
      <c r="AC30" s="16" t="n">
        <f aca="false">(Reference!$B$2*Y30 + Reference!$B$3*AA30 + Reference!$B$4*Z30 + Reference!$B$5 * AB30)/4</f>
        <v>12.1875</v>
      </c>
      <c r="AD30" s="16" t="n">
        <f aca="false">IF(Q30=Reference!$C$41, Reference!$D$41, IF(Q30=Reference!$C$42, Reference!$D$42, IF(Q30=Reference!$C$43, Reference!$D$43, IF(Q30=Reference!$C$44, Reference!$D$44, 0))))</f>
        <v>10</v>
      </c>
      <c r="AE30" s="16" t="n">
        <f aca="false">1 + (AC30 * AD30)</f>
        <v>122.875</v>
      </c>
    </row>
    <row r="31" customFormat="false" ht="12.75" hidden="false" customHeight="true" outlineLevel="0" collapsed="false">
      <c r="A31" s="9" t="s">
        <v>389</v>
      </c>
      <c r="B31" s="10" t="s">
        <v>31</v>
      </c>
      <c r="C31" s="10" t="s">
        <v>32</v>
      </c>
      <c r="D31" s="11" t="s">
        <v>390</v>
      </c>
      <c r="E31" s="12" t="s">
        <v>391</v>
      </c>
      <c r="F31" s="10" t="s">
        <v>35</v>
      </c>
      <c r="G31" s="10" t="s">
        <v>392</v>
      </c>
      <c r="H31" s="10" t="s">
        <v>52</v>
      </c>
      <c r="I31" s="12" t="s">
        <v>393</v>
      </c>
      <c r="J31" s="10" t="s">
        <v>39</v>
      </c>
      <c r="K31" s="13" t="s">
        <v>394</v>
      </c>
      <c r="L31" s="10" t="s">
        <v>55</v>
      </c>
      <c r="M31" s="13" t="s">
        <v>395</v>
      </c>
      <c r="N31" s="10" t="s">
        <v>39</v>
      </c>
      <c r="O31" s="12" t="s">
        <v>396</v>
      </c>
      <c r="P31" s="22" t="str">
        <f aca="false">IF(AC31&gt;=Reference!$H$2, Reference!$G$2, IF(AC31&gt;=Reference!$H$3, Reference!$G$3, IF(AC31&gt;=Reference!$H$4, Reference!$G$4, IF(AC31&gt;=Reference!$H$5, Reference!$G$5, ""))))</f>
        <v>Severe</v>
      </c>
      <c r="Q31" s="22" t="str">
        <f aca="false">IF(F31="Physical", "Very Low", IF(F31="Local", "Low", IF(F31="Adjacent", "Medium", IF(F31="Network", "High", ""))))</f>
        <v>High</v>
      </c>
      <c r="R31" s="22" t="str">
        <f aca="false">IF(AE31&gt;=Reference!$D$2, Reference!$G$2, IF(AE31&gt;=Reference!$D$3, Reference!$E$3, IF(AE31&gt;=Reference!$D$4, Reference!$E$4, IF(AE31&gt;=Reference!$D$5, Reference!$E$5, ""))))</f>
        <v>Severe</v>
      </c>
      <c r="S31" s="15" t="s">
        <v>43</v>
      </c>
      <c r="T31" s="12" t="s">
        <v>397</v>
      </c>
      <c r="U31" s="12" t="s">
        <v>398</v>
      </c>
      <c r="V31" s="12" t="s">
        <v>399</v>
      </c>
      <c r="W31" s="10" t="s">
        <v>400</v>
      </c>
      <c r="Y31" s="16" t="n">
        <f aca="false">IF(H31=Reference!$A$12, Reference!$C$12, IF(H31=Reference!$A$11, Reference!$C$11, IF(H31=Reference!$A$10, Reference!$C$10, IF(H31=Reference!$A$9, Reference!$C$9, 0))))</f>
        <v>10</v>
      </c>
      <c r="Z31" s="16" t="n">
        <f aca="false">IF(J31=Reference!$A$20, Reference!$C$20, IF(J31=Reference!$A$19, Reference!$C$19, IF(J31=Reference!$A$18, Reference!$C$18, IF(J31=Reference!$A$17, Reference!$C$17, 0))))</f>
        <v>4</v>
      </c>
      <c r="AA31" s="16" t="n">
        <f aca="false">IF(L31=Reference!$A$28, Reference!$C$28, IF(L31=Reference!$A$27, Reference!$C$27, IF(L31=Reference!$A$26, Reference!$C$26, IF(L31=Reference!$A$25, Reference!$C$25, 0))))</f>
        <v>7</v>
      </c>
      <c r="AB31" s="16" t="n">
        <f aca="false">IF(N31=Reference!$A$36, Reference!$C$36, IF(N31=Reference!$A$35, Reference!$C$35, IF(N31=Reference!$A$34, Reference!$C$34, IF(N31=Reference!$A$33, Reference!$C$33, 0))))</f>
        <v>4</v>
      </c>
      <c r="AC31" s="16" t="n">
        <f aca="false">(Reference!$B$2*Y31 + Reference!$B$3*AA31 + Reference!$B$4*Z31 + Reference!$B$5 * AB31)/4</f>
        <v>15</v>
      </c>
      <c r="AD31" s="16" t="n">
        <f aca="false">IF(Q31=Reference!$C$41, Reference!$D$41, IF(Q31=Reference!$C$42, Reference!$D$42, IF(Q31=Reference!$C$43, Reference!$D$43, IF(Q31=Reference!$C$44, Reference!$D$44, 0))))</f>
        <v>10</v>
      </c>
      <c r="AE31" s="16" t="n">
        <f aca="false">1 + (AC31 * AD31)</f>
        <v>151</v>
      </c>
    </row>
    <row r="32" customFormat="false" ht="12.75" hidden="false" customHeight="true" outlineLevel="0" collapsed="false">
      <c r="A32" s="9" t="s">
        <v>401</v>
      </c>
      <c r="B32" s="10" t="s">
        <v>113</v>
      </c>
      <c r="C32" s="10" t="s">
        <v>32</v>
      </c>
      <c r="D32" s="11" t="s">
        <v>402</v>
      </c>
      <c r="E32" s="12" t="s">
        <v>403</v>
      </c>
      <c r="F32" s="10" t="s">
        <v>35</v>
      </c>
      <c r="G32" s="10" t="s">
        <v>404</v>
      </c>
      <c r="H32" s="10" t="s">
        <v>37</v>
      </c>
      <c r="I32" s="12" t="s">
        <v>405</v>
      </c>
      <c r="J32" s="10" t="s">
        <v>55</v>
      </c>
      <c r="K32" s="13" t="s">
        <v>406</v>
      </c>
      <c r="L32" s="10" t="s">
        <v>39</v>
      </c>
      <c r="M32" s="13" t="s">
        <v>407</v>
      </c>
      <c r="N32" s="10" t="s">
        <v>55</v>
      </c>
      <c r="O32" s="12" t="s">
        <v>408</v>
      </c>
      <c r="P32" s="22" t="str">
        <f aca="false">IF(AC32&gt;=Reference!$H$2, Reference!$G$2, IF(AC32&gt;=Reference!$H$3, Reference!$G$3, IF(AC32&gt;=Reference!$H$4, Reference!$G$4, IF(AC32&gt;=Reference!$H$5, Reference!$G$5, ""))))</f>
        <v>Moderate</v>
      </c>
      <c r="Q32" s="22" t="str">
        <f aca="false">IF(F32="Physical", "Very Low", IF(F32="Local", "Low", IF(F32="Adjacent", "Medium", IF(F32="Network", "High", ""))))</f>
        <v>High</v>
      </c>
      <c r="R32" s="22" t="str">
        <f aca="false">IF(AE32&gt;=Reference!$D$2, Reference!$G$2, IF(AE32&gt;=Reference!$D$3, Reference!$E$3, IF(AE32&gt;=Reference!$D$4, Reference!$E$4, IF(AE32&gt;=Reference!$D$5, Reference!$E$5, ""))))</f>
        <v>Medium</v>
      </c>
      <c r="S32" s="15" t="s">
        <v>43</v>
      </c>
      <c r="T32" s="12" t="s">
        <v>409</v>
      </c>
      <c r="U32" s="12" t="s">
        <v>410</v>
      </c>
      <c r="V32" s="12" t="s">
        <v>411</v>
      </c>
      <c r="W32" s="10" t="s">
        <v>412</v>
      </c>
      <c r="Y32" s="16" t="n">
        <f aca="false">IF(H32=Reference!$A$12, Reference!$C$12, IF(H32=Reference!$A$11, Reference!$C$11, IF(H32=Reference!$A$10, Reference!$C$10, IF(H32=Reference!$A$9, Reference!$C$9, 0))))</f>
        <v>1</v>
      </c>
      <c r="Z32" s="16" t="n">
        <f aca="false">IF(J32=Reference!$A$20, Reference!$C$20, IF(J32=Reference!$A$19, Reference!$C$19, IF(J32=Reference!$A$18, Reference!$C$18, IF(J32=Reference!$A$17, Reference!$C$17, 0))))</f>
        <v>7</v>
      </c>
      <c r="AA32" s="16" t="n">
        <f aca="false">IF(L32=Reference!$A$28, Reference!$C$28, IF(L32=Reference!$A$27, Reference!$C$27, IF(L32=Reference!$A$26, Reference!$C$26, IF(L32=Reference!$A$25, Reference!$C$25, 0))))</f>
        <v>4</v>
      </c>
      <c r="AB32" s="16" t="n">
        <f aca="false">IF(N32=Reference!$A$36, Reference!$C$36, IF(N32=Reference!$A$35, Reference!$C$35, IF(N32=Reference!$A$34, Reference!$C$34, IF(N32=Reference!$A$33, Reference!$C$33, 0))))</f>
        <v>7</v>
      </c>
      <c r="AC32" s="16" t="n">
        <f aca="false">(Reference!$B$2*Y32 + Reference!$B$3*AA32 + Reference!$B$4*Z32 + Reference!$B$5 * AB32)/4</f>
        <v>3.5625</v>
      </c>
      <c r="AD32" s="16" t="n">
        <f aca="false">IF(Q32=Reference!$C$41, Reference!$D$41, IF(Q32=Reference!$C$42, Reference!$D$42, IF(Q32=Reference!$C$43, Reference!$D$43, IF(Q32=Reference!$C$44, Reference!$D$44, 0))))</f>
        <v>10</v>
      </c>
      <c r="AE32" s="16" t="n">
        <f aca="false">1 + (AC32 * AD32)</f>
        <v>36.625</v>
      </c>
    </row>
    <row r="33" customFormat="false" ht="12.75" hidden="false" customHeight="true" outlineLevel="0" collapsed="false">
      <c r="A33" s="9" t="s">
        <v>413</v>
      </c>
      <c r="B33" s="10" t="s">
        <v>31</v>
      </c>
      <c r="C33" s="10" t="s">
        <v>32</v>
      </c>
      <c r="D33" s="11" t="s">
        <v>414</v>
      </c>
      <c r="E33" s="12" t="s">
        <v>415</v>
      </c>
      <c r="F33" s="10" t="s">
        <v>116</v>
      </c>
      <c r="G33" s="10" t="s">
        <v>416</v>
      </c>
      <c r="H33" s="10" t="s">
        <v>52</v>
      </c>
      <c r="I33" s="12" t="s">
        <v>417</v>
      </c>
      <c r="J33" s="10" t="s">
        <v>39</v>
      </c>
      <c r="K33" s="13" t="s">
        <v>418</v>
      </c>
      <c r="L33" s="10" t="s">
        <v>52</v>
      </c>
      <c r="M33" s="13" t="s">
        <v>419</v>
      </c>
      <c r="N33" s="10" t="s">
        <v>37</v>
      </c>
      <c r="O33" s="12" t="s">
        <v>69</v>
      </c>
      <c r="P33" s="22" t="str">
        <f aca="false">IF(AC33&gt;=Reference!$H$2, Reference!$G$2, IF(AC33&gt;=Reference!$H$3, Reference!$G$3, IF(AC33&gt;=Reference!$H$4, Reference!$G$4, IF(AC33&gt;=Reference!$H$5, Reference!$G$5, ""))))</f>
        <v>Severe</v>
      </c>
      <c r="Q33" s="22" t="str">
        <f aca="false">IF(F33="Physical", "Very Low", IF(F33="Local", "Low", IF(F33="Adjacent", "Medium", IF(F33="Network", "High", ""))))</f>
        <v>Low</v>
      </c>
      <c r="R33" s="22" t="str">
        <f aca="false">IF(AE33&gt;=Reference!$D$2, Reference!$G$2, IF(AE33&gt;=Reference!$D$3, Reference!$E$3, IF(AE33&gt;=Reference!$D$4, Reference!$E$4, IF(AE33&gt;=Reference!$D$5, Reference!$E$5, ""))))</f>
        <v>High</v>
      </c>
      <c r="S33" s="15" t="s">
        <v>43</v>
      </c>
      <c r="T33" s="12" t="s">
        <v>420</v>
      </c>
      <c r="U33" s="12" t="s">
        <v>421</v>
      </c>
      <c r="V33" s="12" t="s">
        <v>422</v>
      </c>
      <c r="W33" s="10" t="s">
        <v>423</v>
      </c>
      <c r="Y33" s="16" t="n">
        <f aca="false">IF(H33=Reference!$A$12, Reference!$C$12, IF(H33=Reference!$A$11, Reference!$C$11, IF(H33=Reference!$A$10, Reference!$C$10, IF(H33=Reference!$A$9, Reference!$C$9, 0))))</f>
        <v>10</v>
      </c>
      <c r="Z33" s="16" t="n">
        <f aca="false">IF(J33=Reference!$A$20, Reference!$C$20, IF(J33=Reference!$A$19, Reference!$C$19, IF(J33=Reference!$A$18, Reference!$C$18, IF(J33=Reference!$A$17, Reference!$C$17, 0))))</f>
        <v>4</v>
      </c>
      <c r="AA33" s="16" t="n">
        <f aca="false">IF(L33=Reference!$A$28, Reference!$C$28, IF(L33=Reference!$A$27, Reference!$C$27, IF(L33=Reference!$A$26, Reference!$C$26, IF(L33=Reference!$A$25, Reference!$C$25, 0))))</f>
        <v>10</v>
      </c>
      <c r="AB33" s="16" t="n">
        <f aca="false">IF(N33=Reference!$A$36, Reference!$C$36, IF(N33=Reference!$A$35, Reference!$C$35, IF(N33=Reference!$A$34, Reference!$C$34, IF(N33=Reference!$A$33, Reference!$C$33, 0))))</f>
        <v>1</v>
      </c>
      <c r="AC33" s="16" t="n">
        <f aca="false">(Reference!$B$2*Y33 + Reference!$B$3*AA33 + Reference!$B$4*Z33 + Reference!$B$5 * AB33)/4</f>
        <v>15.5625</v>
      </c>
      <c r="AD33" s="16" t="n">
        <f aca="false">IF(Q33=Reference!$C$41, Reference!$D$41, IF(Q33=Reference!$C$42, Reference!$D$42, IF(Q33=Reference!$C$43, Reference!$D$43, IF(Q33=Reference!$C$44, Reference!$D$44, 0))))</f>
        <v>4</v>
      </c>
      <c r="AE33" s="16" t="n">
        <f aca="false">1 + (AC33 * AD33)</f>
        <v>63.25</v>
      </c>
    </row>
    <row r="34" customFormat="false" ht="12.75" hidden="false" customHeight="true" outlineLevel="0" collapsed="false">
      <c r="A34" s="9" t="s">
        <v>424</v>
      </c>
      <c r="B34" s="10" t="s">
        <v>100</v>
      </c>
      <c r="C34" s="10" t="s">
        <v>101</v>
      </c>
      <c r="D34" s="11" t="s">
        <v>425</v>
      </c>
      <c r="E34" s="12" t="s">
        <v>426</v>
      </c>
      <c r="F34" s="10" t="s">
        <v>116</v>
      </c>
      <c r="G34" s="10" t="s">
        <v>427</v>
      </c>
      <c r="H34" s="10" t="s">
        <v>52</v>
      </c>
      <c r="I34" s="12" t="s">
        <v>428</v>
      </c>
      <c r="J34" s="10" t="s">
        <v>39</v>
      </c>
      <c r="K34" s="13" t="s">
        <v>429</v>
      </c>
      <c r="L34" s="10" t="s">
        <v>52</v>
      </c>
      <c r="M34" s="13" t="s">
        <v>430</v>
      </c>
      <c r="N34" s="10" t="s">
        <v>37</v>
      </c>
      <c r="O34" s="12" t="s">
        <v>69</v>
      </c>
      <c r="P34" s="22" t="str">
        <f aca="false">IF(AC34&gt;=Reference!$H$2, Reference!$G$2, IF(AC34&gt;=Reference!$H$3, Reference!$G$3, IF(AC34&gt;=Reference!$H$4, Reference!$G$4, IF(AC34&gt;=Reference!$H$5, Reference!$G$5, ""))))</f>
        <v>Severe</v>
      </c>
      <c r="Q34" s="22" t="str">
        <f aca="false">IF(F34="Physical", "Very Low", IF(F34="Local", "Low", IF(F34="Adjacent", "Medium", IF(F34="Network", "High", ""))))</f>
        <v>Low</v>
      </c>
      <c r="R34" s="22" t="str">
        <f aca="false">IF(AE34&gt;=Reference!$D$2, Reference!$G$2, IF(AE34&gt;=Reference!$D$3, Reference!$E$3, IF(AE34&gt;=Reference!$D$4, Reference!$E$4, IF(AE34&gt;=Reference!$D$5, Reference!$E$5, ""))))</f>
        <v>High</v>
      </c>
      <c r="S34" s="15" t="s">
        <v>43</v>
      </c>
      <c r="T34" s="12" t="s">
        <v>431</v>
      </c>
      <c r="U34" s="12" t="s">
        <v>432</v>
      </c>
      <c r="V34" s="12" t="s">
        <v>433</v>
      </c>
      <c r="W34" s="10" t="s">
        <v>434</v>
      </c>
      <c r="Y34" s="16" t="n">
        <f aca="false">IF(H34=Reference!$A$12, Reference!$C$12, IF(H34=Reference!$A$11, Reference!$C$11, IF(H34=Reference!$A$10, Reference!$C$10, IF(H34=Reference!$A$9, Reference!$C$9, 0))))</f>
        <v>10</v>
      </c>
      <c r="Z34" s="16" t="n">
        <f aca="false">IF(J34=Reference!$A$20, Reference!$C$20, IF(J34=Reference!$A$19, Reference!$C$19, IF(J34=Reference!$A$18, Reference!$C$18, IF(J34=Reference!$A$17, Reference!$C$17, 0))))</f>
        <v>4</v>
      </c>
      <c r="AA34" s="16" t="n">
        <f aca="false">IF(L34=Reference!$A$28, Reference!$C$28, IF(L34=Reference!$A$27, Reference!$C$27, IF(L34=Reference!$A$26, Reference!$C$26, IF(L34=Reference!$A$25, Reference!$C$25, 0))))</f>
        <v>10</v>
      </c>
      <c r="AB34" s="16" t="n">
        <f aca="false">IF(N34=Reference!$A$36, Reference!$C$36, IF(N34=Reference!$A$35, Reference!$C$35, IF(N34=Reference!$A$34, Reference!$C$34, IF(N34=Reference!$A$33, Reference!$C$33, 0))))</f>
        <v>1</v>
      </c>
      <c r="AC34" s="16" t="n">
        <f aca="false">(Reference!$B$2*Y34 + Reference!$B$3*AA34 + Reference!$B$4*Z34 + Reference!$B$5 * AB34)/4</f>
        <v>15.5625</v>
      </c>
      <c r="AD34" s="16" t="n">
        <f aca="false">IF(Q34=Reference!$C$41, Reference!$D$41, IF(Q34=Reference!$C$42, Reference!$D$42, IF(Q34=Reference!$C$43, Reference!$D$43, IF(Q34=Reference!$C$44, Reference!$D$44, 0))))</f>
        <v>4</v>
      </c>
      <c r="AE34" s="16" t="n">
        <f aca="false">1 + (AC34 * AD34)</f>
        <v>63.25</v>
      </c>
    </row>
    <row r="35" customFormat="false" ht="12.75" hidden="false" customHeight="true" outlineLevel="0" collapsed="false">
      <c r="A35" s="24"/>
      <c r="B35" s="15"/>
      <c r="C35" s="15"/>
      <c r="D35" s="25"/>
      <c r="E35" s="25"/>
      <c r="F35" s="15"/>
      <c r="G35" s="15"/>
      <c r="H35" s="15"/>
      <c r="I35" s="26"/>
      <c r="J35" s="15"/>
      <c r="K35" s="26"/>
      <c r="L35" s="15"/>
      <c r="M35" s="15"/>
      <c r="N35" s="15"/>
      <c r="O35" s="15"/>
      <c r="P35" s="22" t="str">
        <f aca="false">IF(AC35&gt;=Reference!$H$2, Reference!$G$2, IF(AC35&gt;=Reference!$H$3, Reference!$G$3, IF(AC35&gt;=Reference!$H$4, Reference!$G$4, IF(AC35&gt;=Reference!$H$5, Reference!$G$5, ""))))</f>
        <v/>
      </c>
      <c r="Q35" s="22" t="str">
        <f aca="false">IF(F35="Physical", "Very Low", IF(F35="Local", "Low", IF(F35="Adjacent", "Medium", IF(F35="Network", "High", ""))))</f>
        <v/>
      </c>
      <c r="R35" s="22" t="str">
        <f aca="false">IF(AE35&gt;=Reference!$D$2, Reference!$G$2, IF(AE35&gt;=Reference!$D$3, Reference!$E$3, IF(AE35&gt;=Reference!$D$4, Reference!$E$4, IF(AE35&gt;=Reference!$D$5, Reference!$E$5, ""))))</f>
        <v>Low</v>
      </c>
      <c r="S35" s="27"/>
      <c r="T35" s="28"/>
      <c r="U35" s="15"/>
      <c r="V35" s="26"/>
      <c r="W35" s="15"/>
      <c r="Y35" s="16" t="n">
        <f aca="false">IF(H35=Reference!$A$12, Reference!$C$12, IF(H35=Reference!$A$11, Reference!$C$11, IF(H35=Reference!$A$10, Reference!$C$10, IF(H35=Reference!$A$9, Reference!$C$9, 0))))</f>
        <v>0</v>
      </c>
      <c r="Z35" s="16" t="n">
        <f aca="false">IF(J35=Reference!$A$20, Reference!$C$20, IF(J35=Reference!$A$19, Reference!$C$19, IF(J35=Reference!$A$18, Reference!$C$18, IF(J35=Reference!$A$17, Reference!$C$17, 0))))</f>
        <v>0</v>
      </c>
      <c r="AA35" s="16" t="n">
        <f aca="false">IF(L35=Reference!$A$28, Reference!$C$28, IF(L35=Reference!$A$27, Reference!$C$27, IF(L35=Reference!$A$26, Reference!$C$26, IF(L35=Reference!$A$25, Reference!$C$25, 0))))</f>
        <v>0</v>
      </c>
      <c r="AB35" s="16" t="n">
        <f aca="false">IF(N35=Reference!$A$36, Reference!$C$36, IF(N35=Reference!$A$35, Reference!$C$35, IF(N35=Reference!$A$34, Reference!$C$34, IF(N35=Reference!$A$33, Reference!$C$33, 0))))</f>
        <v>0</v>
      </c>
      <c r="AC35" s="16" t="n">
        <f aca="false">(Reference!$B$2*Y35 + Reference!$B$3*AA35 + Reference!$B$4*Z35 + Reference!$B$5 * AB35)/4</f>
        <v>0</v>
      </c>
      <c r="AD35" s="16" t="n">
        <f aca="false">IF(Q35=Reference!$C$41, Reference!$D$41, IF(Q35=Reference!$C$42, Reference!$D$42, IF(Q35=Reference!$C$43, Reference!$D$43, IF(Q35=Reference!$C$44, Reference!$D$44, 0))))</f>
        <v>0</v>
      </c>
      <c r="AE35" s="16" t="n">
        <f aca="false">1 + (AC35 * AD35)</f>
        <v>1</v>
      </c>
    </row>
    <row r="36" customFormat="false" ht="12.75" hidden="false" customHeight="true" outlineLevel="0" collapsed="false">
      <c r="A36" s="24"/>
      <c r="B36" s="15"/>
      <c r="C36" s="15"/>
      <c r="D36" s="25"/>
      <c r="E36" s="29"/>
      <c r="F36" s="15"/>
      <c r="G36" s="15"/>
      <c r="H36" s="15"/>
      <c r="J36" s="15"/>
      <c r="K36" s="26"/>
      <c r="L36" s="15"/>
      <c r="M36" s="26"/>
      <c r="N36" s="15"/>
      <c r="O36" s="26"/>
      <c r="P36" s="22" t="str">
        <f aca="false">IF(AC36&gt;=Reference!$H$2, Reference!$G$2, IF(AC36&gt;=Reference!$H$3, Reference!$G$3, IF(AC36&gt;=Reference!$H$4, Reference!$G$4, IF(AC36&gt;=Reference!$H$5, Reference!$G$5, ""))))</f>
        <v/>
      </c>
      <c r="Q36" s="22" t="str">
        <f aca="false">IF(F36="Physical", "Very Low", IF(F36="Local", "Low", IF(F36="Adjacent", "Medium", IF(F36="Network", "High", ""))))</f>
        <v/>
      </c>
      <c r="R36" s="22" t="str">
        <f aca="false">IF(AE36&gt;=Reference!$D$2, Reference!$G$2, IF(AE36&gt;=Reference!$D$3, Reference!$E$3, IF(AE36&gt;=Reference!$D$4, Reference!$E$4, IF(AE36&gt;=Reference!$D$5, Reference!$E$5, ""))))</f>
        <v>Low</v>
      </c>
      <c r="S36" s="27"/>
      <c r="T36" s="28"/>
      <c r="U36" s="15"/>
      <c r="V36" s="15"/>
      <c r="W36" s="15"/>
      <c r="Y36" s="16" t="n">
        <f aca="false">IF(H36=Reference!$A$12, Reference!$C$12, IF(H36=Reference!$A$11, Reference!$C$11, IF(H36=Reference!$A$10, Reference!$C$10, IF(H36=Reference!$A$9, Reference!$C$9, 0))))</f>
        <v>0</v>
      </c>
      <c r="Z36" s="16" t="n">
        <f aca="false">IF(J36=Reference!$A$20, Reference!$C$20, IF(J36=Reference!$A$19, Reference!$C$19, IF(J36=Reference!$A$18, Reference!$C$18, IF(J36=Reference!$A$17, Reference!$C$17, 0))))</f>
        <v>0</v>
      </c>
      <c r="AA36" s="16" t="n">
        <f aca="false">IF(L36=Reference!$A$28, Reference!$C$28, IF(L36=Reference!$A$27, Reference!$C$27, IF(L36=Reference!$A$26, Reference!$C$26, IF(L36=Reference!$A$25, Reference!$C$25, 0))))</f>
        <v>0</v>
      </c>
      <c r="AB36" s="16" t="n">
        <f aca="false">IF(N36=Reference!$A$36, Reference!$C$36, IF(N36=Reference!$A$35, Reference!$C$35, IF(N36=Reference!$A$34, Reference!$C$34, IF(N36=Reference!$A$33, Reference!$C$33, 0))))</f>
        <v>0</v>
      </c>
      <c r="AC36" s="16" t="n">
        <f aca="false">(Reference!$B$2*Y36 + Reference!$B$3*AA36 + Reference!$B$4*Z36 + Reference!$B$5 * AB36)/4</f>
        <v>0</v>
      </c>
      <c r="AD36" s="16" t="n">
        <f aca="false">IF(Q36=Reference!$C$41, Reference!$D$41, IF(Q36=Reference!$C$42, Reference!$D$42, IF(Q36=Reference!$C$43, Reference!$D$43, IF(Q36=Reference!$C$44, Reference!$D$44, 0))))</f>
        <v>0</v>
      </c>
      <c r="AE36" s="16" t="n">
        <f aca="false">1 + (AC36 * AD36)</f>
        <v>1</v>
      </c>
    </row>
    <row r="37" customFormat="false" ht="12.75" hidden="false" customHeight="true" outlineLevel="0" collapsed="false">
      <c r="A37" s="24"/>
      <c r="B37" s="15"/>
      <c r="C37" s="15"/>
      <c r="D37" s="25"/>
      <c r="E37" s="25"/>
      <c r="F37" s="15"/>
      <c r="G37" s="15"/>
      <c r="H37" s="15"/>
      <c r="I37" s="15"/>
      <c r="J37" s="15"/>
      <c r="K37" s="15"/>
      <c r="L37" s="15"/>
      <c r="M37" s="15"/>
      <c r="N37" s="15"/>
      <c r="O37" s="15"/>
      <c r="P37" s="22" t="str">
        <f aca="false">IF(AC37&gt;=Reference!$H$2, Reference!$G$2, IF(AC37&gt;=Reference!$H$3, Reference!$G$3, IF(AC37&gt;=Reference!$H$4, Reference!$G$4, IF(AC37&gt;=Reference!$H$5, Reference!$G$5, ""))))</f>
        <v/>
      </c>
      <c r="Q37" s="22" t="str">
        <f aca="false">IF(F37="Physical", "Very Low", IF(F37="Local", "Low", IF(F37="Adjacent", "Medium", IF(F37="Network", "High", ""))))</f>
        <v/>
      </c>
      <c r="R37" s="22" t="str">
        <f aca="false">IF(AE37&gt;=Reference!$D$2, Reference!$G$2, IF(AE37&gt;=Reference!$D$3, Reference!$E$3, IF(AE37&gt;=Reference!$D$4, Reference!$E$4, IF(AE37&gt;=Reference!$D$5, Reference!$E$5, ""))))</f>
        <v>Low</v>
      </c>
      <c r="S37" s="27"/>
      <c r="T37" s="28"/>
      <c r="U37" s="15"/>
      <c r="V37" s="15"/>
      <c r="W37" s="15"/>
      <c r="Y37" s="16" t="n">
        <f aca="false">IF(H37=Reference!$A$12, Reference!$C$12, IF(H37=Reference!$A$11, Reference!$C$11, IF(H37=Reference!$A$10, Reference!$C$10, IF(H37=Reference!$A$9, Reference!$C$9, 0))))</f>
        <v>0</v>
      </c>
      <c r="Z37" s="16" t="n">
        <f aca="false">IF(J37=Reference!$A$20, Reference!$C$20, IF(J37=Reference!$A$19, Reference!$C$19, IF(J37=Reference!$A$18, Reference!$C$18, IF(J37=Reference!$A$17, Reference!$C$17, 0))))</f>
        <v>0</v>
      </c>
      <c r="AA37" s="16" t="n">
        <f aca="false">IF(L37=Reference!$A$28, Reference!$C$28, IF(L37=Reference!$A$27, Reference!$C$27, IF(L37=Reference!$A$26, Reference!$C$26, IF(L37=Reference!$A$25, Reference!$C$25, 0))))</f>
        <v>0</v>
      </c>
      <c r="AB37" s="16" t="n">
        <f aca="false">IF(N37=Reference!$A$36, Reference!$C$36, IF(N37=Reference!$A$35, Reference!$C$35, IF(N37=Reference!$A$34, Reference!$C$34, IF(N37=Reference!$A$33, Reference!$C$33, 0))))</f>
        <v>0</v>
      </c>
      <c r="AC37" s="16" t="n">
        <f aca="false">(Reference!$B$2*Y37 + Reference!$B$3*AA37 + Reference!$B$4*Z37 + Reference!$B$5 * AB37)/4</f>
        <v>0</v>
      </c>
      <c r="AD37" s="16" t="n">
        <f aca="false">IF(Q37=Reference!$C$41, Reference!$D$41, IF(Q37=Reference!$C$42, Reference!$D$42, IF(Q37=Reference!$C$43, Reference!$D$43, IF(Q37=Reference!$C$44, Reference!$D$44, 0))))</f>
        <v>0</v>
      </c>
      <c r="AE37" s="16" t="n">
        <f aca="false">1 + (AC37 * AD37)</f>
        <v>1</v>
      </c>
    </row>
    <row r="38" customFormat="false" ht="12.75" hidden="false" customHeight="true" outlineLevel="0" collapsed="false">
      <c r="A38" s="24"/>
      <c r="B38" s="15"/>
      <c r="C38" s="15"/>
      <c r="D38" s="25"/>
      <c r="E38" s="25"/>
      <c r="F38" s="15"/>
      <c r="H38" s="15"/>
      <c r="I38" s="15"/>
      <c r="J38" s="15"/>
      <c r="K38" s="15"/>
      <c r="L38" s="15"/>
      <c r="M38" s="15"/>
      <c r="N38" s="15"/>
      <c r="O38" s="15"/>
      <c r="P38" s="22" t="str">
        <f aca="false">IF(AC38&gt;=Reference!$H$2, Reference!$G$2, IF(AC38&gt;=Reference!$H$3, Reference!$G$3, IF(AC38&gt;=Reference!$H$4, Reference!$G$4, IF(AC38&gt;=Reference!$H$5, Reference!$G$5, ""))))</f>
        <v/>
      </c>
      <c r="Q38" s="22" t="str">
        <f aca="false">IF(F38="Physical", "Very Low", IF(F38="Local", "Low", IF(F38="Adjacent", "Medium", IF(F38="Network", "High", ""))))</f>
        <v/>
      </c>
      <c r="R38" s="22" t="str">
        <f aca="false">IF(AE38&gt;=Reference!$D$2, Reference!$G$2, IF(AE38&gt;=Reference!$D$3, Reference!$E$3, IF(AE38&gt;=Reference!$D$4, Reference!$E$4, IF(AE38&gt;=Reference!$D$5, Reference!$E$5, ""))))</f>
        <v>Low</v>
      </c>
      <c r="S38" s="27"/>
      <c r="T38" s="28"/>
      <c r="U38" s="15"/>
      <c r="V38" s="15"/>
      <c r="W38" s="15"/>
      <c r="Y38" s="16" t="n">
        <f aca="false">IF(H38=Reference!$A$12, Reference!$C$12, IF(H38=Reference!$A$11, Reference!$C$11, IF(H38=Reference!$A$10, Reference!$C$10, IF(H38=Reference!$A$9, Reference!$C$9, 0))))</f>
        <v>0</v>
      </c>
      <c r="Z38" s="16" t="n">
        <f aca="false">IF(J38=Reference!$A$20, Reference!$C$20, IF(J38=Reference!$A$19, Reference!$C$19, IF(J38=Reference!$A$18, Reference!$C$18, IF(J38=Reference!$A$17, Reference!$C$17, 0))))</f>
        <v>0</v>
      </c>
      <c r="AA38" s="16" t="n">
        <f aca="false">IF(L38=Reference!$A$28, Reference!$C$28, IF(L38=Reference!$A$27, Reference!$C$27, IF(L38=Reference!$A$26, Reference!$C$26, IF(L38=Reference!$A$25, Reference!$C$25, 0))))</f>
        <v>0</v>
      </c>
      <c r="AB38" s="16" t="n">
        <f aca="false">IF(N38=Reference!$A$36, Reference!$C$36, IF(N38=Reference!$A$35, Reference!$C$35, IF(N38=Reference!$A$34, Reference!$C$34, IF(N38=Reference!$A$33, Reference!$C$33, 0))))</f>
        <v>0</v>
      </c>
      <c r="AC38" s="16" t="n">
        <f aca="false">(Reference!$B$2*Y38 + Reference!$B$3*AA38 + Reference!$B$4*Z38 + Reference!$B$5 * AB38)/4</f>
        <v>0</v>
      </c>
      <c r="AD38" s="16" t="n">
        <f aca="false">IF(Q38=Reference!$C$41, Reference!$D$41, IF(Q38=Reference!$C$42, Reference!$D$42, IF(Q38=Reference!$C$43, Reference!$D$43, IF(Q38=Reference!$C$44, Reference!$D$44, 0))))</f>
        <v>0</v>
      </c>
      <c r="AE38" s="16" t="n">
        <f aca="false">1 + (AC38 * AD38)</f>
        <v>1</v>
      </c>
    </row>
    <row r="39" customFormat="false" ht="12.75" hidden="false" customHeight="true" outlineLevel="0" collapsed="false">
      <c r="A39" s="24"/>
      <c r="B39" s="15"/>
      <c r="C39" s="15"/>
      <c r="D39" s="25"/>
      <c r="E39" s="25"/>
      <c r="F39" s="15"/>
      <c r="G39" s="15"/>
      <c r="H39" s="15"/>
      <c r="I39" s="15"/>
      <c r="J39" s="15"/>
      <c r="K39" s="15"/>
      <c r="L39" s="15"/>
      <c r="M39" s="15"/>
      <c r="N39" s="15"/>
      <c r="O39" s="15"/>
      <c r="P39" s="22" t="str">
        <f aca="false">IF(AC39&gt;=Reference!$H$2, Reference!$G$2, IF(AC39&gt;=Reference!$H$3, Reference!$G$3, IF(AC39&gt;=Reference!$H$4, Reference!$G$4, IF(AC39&gt;=Reference!$H$5, Reference!$G$5, ""))))</f>
        <v/>
      </c>
      <c r="Q39" s="22" t="str">
        <f aca="false">IF(F39="Physical", "Very Low", IF(F39="Local", "Low", IF(F39="Adjacent", "Medium", IF(F39="Network", "High", ""))))</f>
        <v/>
      </c>
      <c r="R39" s="22" t="str">
        <f aca="false">IF(AE39&gt;=Reference!$D$2, Reference!$G$2, IF(AE39&gt;=Reference!$D$3, Reference!$E$3, IF(AE39&gt;=Reference!$D$4, Reference!$E$4, IF(AE39&gt;=Reference!$D$5, Reference!$E$5, ""))))</f>
        <v>Low</v>
      </c>
      <c r="S39" s="27"/>
      <c r="T39" s="28"/>
      <c r="U39" s="15"/>
      <c r="V39" s="15"/>
      <c r="W39" s="15"/>
      <c r="Y39" s="16" t="n">
        <f aca="false">IF(H39=Reference!$A$12, Reference!$C$12, IF(H39=Reference!$A$11, Reference!$C$11, IF(H39=Reference!$A$10, Reference!$C$10, IF(H39=Reference!$A$9, Reference!$C$9, 0))))</f>
        <v>0</v>
      </c>
      <c r="Z39" s="16" t="n">
        <f aca="false">IF(J39=Reference!$A$20, Reference!$C$20, IF(J39=Reference!$A$19, Reference!$C$19, IF(J39=Reference!$A$18, Reference!$C$18, IF(J39=Reference!$A$17, Reference!$C$17, 0))))</f>
        <v>0</v>
      </c>
      <c r="AA39" s="16" t="n">
        <f aca="false">IF(L39=Reference!$A$28, Reference!$C$28, IF(L39=Reference!$A$27, Reference!$C$27, IF(L39=Reference!$A$26, Reference!$C$26, IF(L39=Reference!$A$25, Reference!$C$25, 0))))</f>
        <v>0</v>
      </c>
      <c r="AB39" s="16" t="n">
        <f aca="false">IF(N39=Reference!$A$36, Reference!$C$36, IF(N39=Reference!$A$35, Reference!$C$35, IF(N39=Reference!$A$34, Reference!$C$34, IF(N39=Reference!$A$33, Reference!$C$33, 0))))</f>
        <v>0</v>
      </c>
      <c r="AC39" s="16" t="n">
        <f aca="false">(Reference!$B$2*Y39 + Reference!$B$3*AA39 + Reference!$B$4*Z39 + Reference!$B$5 * AB39)/4</f>
        <v>0</v>
      </c>
      <c r="AD39" s="16" t="n">
        <f aca="false">IF(Q39=Reference!$C$41, Reference!$D$41, IF(Q39=Reference!$C$42, Reference!$D$42, IF(Q39=Reference!$C$43, Reference!$D$43, IF(Q39=Reference!$C$44, Reference!$D$44, 0))))</f>
        <v>0</v>
      </c>
      <c r="AE39" s="16" t="n">
        <f aca="false">1 + (AC39 * AD39)</f>
        <v>1</v>
      </c>
    </row>
    <row r="40" customFormat="false" ht="12.75" hidden="false" customHeight="true" outlineLevel="0" collapsed="false">
      <c r="A40" s="24"/>
      <c r="B40" s="15"/>
      <c r="C40" s="15"/>
      <c r="D40" s="25"/>
      <c r="E40" s="25"/>
      <c r="F40" s="15"/>
      <c r="G40" s="15"/>
      <c r="H40" s="15"/>
      <c r="I40" s="15"/>
      <c r="J40" s="15"/>
      <c r="K40" s="15"/>
      <c r="L40" s="15"/>
      <c r="M40" s="15"/>
      <c r="N40" s="15"/>
      <c r="O40" s="15"/>
      <c r="P40" s="22" t="str">
        <f aca="false">IF(AC40&gt;=Reference!$H$2, Reference!$G$2, IF(AC40&gt;=Reference!$H$3, Reference!$G$3, IF(AC40&gt;=Reference!$H$4, Reference!$G$4, IF(AC40&gt;=Reference!$H$5, Reference!$G$5, ""))))</f>
        <v/>
      </c>
      <c r="Q40" s="22" t="str">
        <f aca="false">IF(F40="Physical", "Very Low", IF(F40="Local", "Low", IF(F40="Adjacent", "Medium", IF(F40="Network", "High", ""))))</f>
        <v/>
      </c>
      <c r="R40" s="22" t="str">
        <f aca="false">IF(AE40&gt;=Reference!$D$2, Reference!$G$2, IF(AE40&gt;=Reference!$D$3, Reference!$E$3, IF(AE40&gt;=Reference!$D$4, Reference!$E$4, IF(AE40&gt;=Reference!$D$5, Reference!$E$5, ""))))</f>
        <v>Low</v>
      </c>
      <c r="S40" s="27"/>
      <c r="T40" s="28"/>
      <c r="U40" s="15"/>
      <c r="V40" s="15"/>
      <c r="W40" s="15"/>
      <c r="Y40" s="16" t="n">
        <f aca="false">IF(H40=Reference!$A$12, Reference!$C$12, IF(H40=Reference!$A$11, Reference!$C$11, IF(H40=Reference!$A$10, Reference!$C$10, IF(H40=Reference!$A$9, Reference!$C$9, 0))))</f>
        <v>0</v>
      </c>
      <c r="Z40" s="16" t="n">
        <f aca="false">IF(J40=Reference!$A$20, Reference!$C$20, IF(J40=Reference!$A$19, Reference!$C$19, IF(J40=Reference!$A$18, Reference!$C$18, IF(J40=Reference!$A$17, Reference!$C$17, 0))))</f>
        <v>0</v>
      </c>
      <c r="AA40" s="16" t="n">
        <f aca="false">IF(L40=Reference!$A$28, Reference!$C$28, IF(L40=Reference!$A$27, Reference!$C$27, IF(L40=Reference!$A$26, Reference!$C$26, IF(L40=Reference!$A$25, Reference!$C$25, 0))))</f>
        <v>0</v>
      </c>
      <c r="AB40" s="16" t="n">
        <f aca="false">IF(N40=Reference!$A$36, Reference!$C$36, IF(N40=Reference!$A$35, Reference!$C$35, IF(N40=Reference!$A$34, Reference!$C$34, IF(N40=Reference!$A$33, Reference!$C$33, 0))))</f>
        <v>0</v>
      </c>
      <c r="AC40" s="16" t="n">
        <f aca="false">(Reference!$B$2*Y40 + Reference!$B$3*AA40 + Reference!$B$4*Z40 + Reference!$B$5 * AB40)/4</f>
        <v>0</v>
      </c>
      <c r="AD40" s="16" t="n">
        <f aca="false">IF(Q40=Reference!$C$41, Reference!$D$41, IF(Q40=Reference!$C$42, Reference!$D$42, IF(Q40=Reference!$C$43, Reference!$D$43, IF(Q40=Reference!$C$44, Reference!$D$44, 0))))</f>
        <v>0</v>
      </c>
      <c r="AE40" s="16" t="n">
        <f aca="false">1 + (AC40 * AD40)</f>
        <v>1</v>
      </c>
    </row>
    <row r="41" customFormat="false" ht="14.25" hidden="false" customHeight="true" outlineLevel="0" collapsed="false">
      <c r="A41" s="24"/>
      <c r="B41" s="15"/>
      <c r="C41" s="15"/>
      <c r="D41" s="25"/>
      <c r="E41" s="25"/>
      <c r="F41" s="15"/>
      <c r="G41" s="30"/>
      <c r="H41" s="15"/>
      <c r="I41" s="15"/>
      <c r="J41" s="15"/>
      <c r="K41" s="15"/>
      <c r="L41" s="15"/>
      <c r="M41" s="15"/>
      <c r="N41" s="15"/>
      <c r="O41" s="15"/>
      <c r="P41" s="22" t="str">
        <f aca="false">IF(AC41&gt;=Reference!$H$2, Reference!$G$2, IF(AC41&gt;=Reference!$H$3, Reference!$G$3, IF(AC41&gt;=Reference!$H$4, Reference!$G$4, IF(AC41&gt;=Reference!$H$5, Reference!$G$5, ""))))</f>
        <v/>
      </c>
      <c r="Q41" s="22" t="str">
        <f aca="false">IF(F41="Physical", "Very Low", IF(F41="Local", "Low", IF(F41="Adjacent", "Medium", IF(F41="Network", "High", ""))))</f>
        <v/>
      </c>
      <c r="R41" s="22" t="str">
        <f aca="false">IF(AE41&gt;=Reference!$D$2, Reference!$G$2, IF(AE41&gt;=Reference!$D$3, Reference!$E$3, IF(AE41&gt;=Reference!$D$4, Reference!$E$4, IF(AE41&gt;=Reference!$D$5, Reference!$E$5, ""))))</f>
        <v>Low</v>
      </c>
      <c r="S41" s="27"/>
      <c r="T41" s="30"/>
      <c r="U41" s="15"/>
      <c r="V41" s="15"/>
      <c r="W41" s="15"/>
      <c r="Y41" s="16" t="n">
        <f aca="false">IF(H41=Reference!$A$12, Reference!$C$12, IF(H41=Reference!$A$11, Reference!$C$11, IF(H41=Reference!$A$10, Reference!$C$10, IF(H41=Reference!$A$9, Reference!$C$9, 0))))</f>
        <v>0</v>
      </c>
      <c r="Z41" s="16" t="n">
        <f aca="false">IF(J41=Reference!$A$20, Reference!$C$20, IF(J41=Reference!$A$19, Reference!$C$19, IF(J41=Reference!$A$18, Reference!$C$18, IF(J41=Reference!$A$17, Reference!$C$17, 0))))</f>
        <v>0</v>
      </c>
      <c r="AA41" s="16" t="n">
        <f aca="false">IF(L41=Reference!$A$28, Reference!$C$28, IF(L41=Reference!$A$27, Reference!$C$27, IF(L41=Reference!$A$26, Reference!$C$26, IF(L41=Reference!$A$25, Reference!$C$25, 0))))</f>
        <v>0</v>
      </c>
      <c r="AB41" s="16" t="n">
        <f aca="false">IF(N41=Reference!$A$36, Reference!$C$36, IF(N41=Reference!$A$35, Reference!$C$35, IF(N41=Reference!$A$34, Reference!$C$34, IF(N41=Reference!$A$33, Reference!$C$33, 0))))</f>
        <v>0</v>
      </c>
      <c r="AC41" s="16" t="n">
        <f aca="false">(Reference!$B$2*Y41 + Reference!$B$3*AA41 + Reference!$B$4*Z41 + Reference!$B$5 * AB41)/4</f>
        <v>0</v>
      </c>
      <c r="AD41" s="16" t="n">
        <f aca="false">IF(Q41=Reference!$C$41, Reference!$D$41, IF(Q41=Reference!$C$42, Reference!$D$42, IF(Q41=Reference!$C$43, Reference!$D$43, IF(Q41=Reference!$C$44, Reference!$D$44, 0))))</f>
        <v>0</v>
      </c>
      <c r="AE41" s="16" t="n">
        <f aca="false">1 + (AC41 * AD41)</f>
        <v>1</v>
      </c>
    </row>
    <row r="42" customFormat="false" ht="12.75" hidden="false" customHeight="true" outlineLevel="0" collapsed="false">
      <c r="A42" s="24"/>
      <c r="B42" s="15"/>
      <c r="C42" s="15"/>
      <c r="D42" s="25"/>
      <c r="E42" s="25"/>
      <c r="F42" s="15"/>
      <c r="G42" s="15"/>
      <c r="H42" s="15"/>
      <c r="I42" s="15"/>
      <c r="J42" s="15"/>
      <c r="K42" s="26"/>
      <c r="L42" s="15"/>
      <c r="M42" s="15"/>
      <c r="N42" s="15"/>
      <c r="O42" s="15"/>
      <c r="P42" s="22" t="str">
        <f aca="false">IF(AC42&gt;=Reference!$H$2, Reference!$G$2, IF(AC42&gt;=Reference!$H$3, Reference!$G$3, IF(AC42&gt;=Reference!$H$4, Reference!$G$4, IF(AC42&gt;=Reference!$H$5, Reference!$G$5, ""))))</f>
        <v/>
      </c>
      <c r="Q42" s="22" t="str">
        <f aca="false">IF(F42="Physical", "Very Low", IF(F42="Local", "Low", IF(F42="Adjacent", "Medium", IF(F42="Network", "High", ""))))</f>
        <v/>
      </c>
      <c r="R42" s="22" t="str">
        <f aca="false">IF(AE42&gt;=Reference!$D$2, Reference!$G$2, IF(AE42&gt;=Reference!$D$3, Reference!$E$3, IF(AE42&gt;=Reference!$D$4, Reference!$E$4, IF(AE42&gt;=Reference!$D$5, Reference!$E$5, ""))))</f>
        <v>Low</v>
      </c>
      <c r="S42" s="27"/>
      <c r="T42" s="28"/>
      <c r="U42" s="15"/>
      <c r="V42" s="15"/>
      <c r="W42" s="15"/>
      <c r="Y42" s="16" t="n">
        <f aca="false">IF(H42=Reference!$A$12, Reference!$C$12, IF(H42=Reference!$A$11, Reference!$C$11, IF(H42=Reference!$A$10, Reference!$C$10, IF(H42=Reference!$A$9, Reference!$C$9, 0))))</f>
        <v>0</v>
      </c>
      <c r="Z42" s="16" t="n">
        <f aca="false">IF(J42=Reference!$A$20, Reference!$C$20, IF(J42=Reference!$A$19, Reference!$C$19, IF(J42=Reference!$A$18, Reference!$C$18, IF(J42=Reference!$A$17, Reference!$C$17, 0))))</f>
        <v>0</v>
      </c>
      <c r="AA42" s="16" t="n">
        <f aca="false">IF(L42=Reference!$A$28, Reference!$C$28, IF(L42=Reference!$A$27, Reference!$C$27, IF(L42=Reference!$A$26, Reference!$C$26, IF(L42=Reference!$A$25, Reference!$C$25, 0))))</f>
        <v>0</v>
      </c>
      <c r="AB42" s="16" t="n">
        <f aca="false">IF(N42=Reference!$A$36, Reference!$C$36, IF(N42=Reference!$A$35, Reference!$C$35, IF(N42=Reference!$A$34, Reference!$C$34, IF(N42=Reference!$A$33, Reference!$C$33, 0))))</f>
        <v>0</v>
      </c>
      <c r="AC42" s="16" t="n">
        <f aca="false">(Reference!$B$2*Y42 + Reference!$B$3*AA42 + Reference!$B$4*Z42 + Reference!$B$5 * AB42)/4</f>
        <v>0</v>
      </c>
      <c r="AD42" s="16" t="n">
        <f aca="false">IF(Q42=Reference!$C$41, Reference!$D$41, IF(Q42=Reference!$C$42, Reference!$D$42, IF(Q42=Reference!$C$43, Reference!$D$43, IF(Q42=Reference!$C$44, Reference!$D$44, 0))))</f>
        <v>0</v>
      </c>
      <c r="AE42" s="16" t="n">
        <f aca="false">1 + (AC42 * AD42)</f>
        <v>1</v>
      </c>
    </row>
    <row r="43" customFormat="false" ht="12.75" hidden="false" customHeight="true" outlineLevel="0" collapsed="false">
      <c r="A43" s="24"/>
      <c r="B43" s="15"/>
      <c r="C43" s="15"/>
      <c r="D43" s="25"/>
      <c r="E43" s="25"/>
      <c r="F43" s="15"/>
      <c r="G43" s="15"/>
      <c r="H43" s="15"/>
      <c r="I43" s="15"/>
      <c r="J43" s="15"/>
      <c r="K43" s="26"/>
      <c r="L43" s="15"/>
      <c r="M43" s="15"/>
      <c r="N43" s="15"/>
      <c r="O43" s="15"/>
      <c r="P43" s="22" t="str">
        <f aca="false">IF(AC43&gt;=Reference!$H$2, Reference!$G$2, IF(AC43&gt;=Reference!$H$3, Reference!$G$3, IF(AC43&gt;=Reference!$H$4, Reference!$G$4, IF(AC43&gt;=Reference!$H$5, Reference!$G$5, ""))))</f>
        <v/>
      </c>
      <c r="Q43" s="22" t="str">
        <f aca="false">IF(F43="Physical", "Very Low", IF(F43="Local", "Low", IF(F43="Adjacent", "Medium", IF(F43="Network", "High", ""))))</f>
        <v/>
      </c>
      <c r="R43" s="22" t="str">
        <f aca="false">IF(AE43&gt;=Reference!$D$2, Reference!$G$2, IF(AE43&gt;=Reference!$D$3, Reference!$E$3, IF(AE43&gt;=Reference!$D$4, Reference!$E$4, IF(AE43&gt;=Reference!$D$5, Reference!$E$5, ""))))</f>
        <v>Low</v>
      </c>
      <c r="S43" s="27"/>
      <c r="T43" s="28"/>
      <c r="U43" s="15"/>
      <c r="V43" s="15"/>
      <c r="W43" s="15"/>
      <c r="Y43" s="16" t="n">
        <f aca="false">IF(H43=Reference!$A$12, Reference!$C$12, IF(H43=Reference!$A$11, Reference!$C$11, IF(H43=Reference!$A$10, Reference!$C$10, IF(H43=Reference!$A$9, Reference!$C$9, 0))))</f>
        <v>0</v>
      </c>
      <c r="Z43" s="16" t="n">
        <f aca="false">IF(J43=Reference!$A$20, Reference!$C$20, IF(J43=Reference!$A$19, Reference!$C$19, IF(J43=Reference!$A$18, Reference!$C$18, IF(J43=Reference!$A$17, Reference!$C$17, 0))))</f>
        <v>0</v>
      </c>
      <c r="AA43" s="16" t="n">
        <f aca="false">IF(L43=Reference!$A$28, Reference!$C$28, IF(L43=Reference!$A$27, Reference!$C$27, IF(L43=Reference!$A$26, Reference!$C$26, IF(L43=Reference!$A$25, Reference!$C$25, 0))))</f>
        <v>0</v>
      </c>
      <c r="AB43" s="16" t="n">
        <f aca="false">IF(N43=Reference!$A$36, Reference!$C$36, IF(N43=Reference!$A$35, Reference!$C$35, IF(N43=Reference!$A$34, Reference!$C$34, IF(N43=Reference!$A$33, Reference!$C$33, 0))))</f>
        <v>0</v>
      </c>
      <c r="AC43" s="16" t="n">
        <f aca="false">(Reference!$B$2*Y43 + Reference!$B$3*AA43 + Reference!$B$4*Z43 + Reference!$B$5 * AB43)/4</f>
        <v>0</v>
      </c>
      <c r="AD43" s="16" t="n">
        <f aca="false">IF(Q43=Reference!$C$41, Reference!$D$41, IF(Q43=Reference!$C$42, Reference!$D$42, IF(Q43=Reference!$C$43, Reference!$D$43, IF(Q43=Reference!$C$44, Reference!$D$44, 0))))</f>
        <v>0</v>
      </c>
      <c r="AE43" s="16" t="n">
        <f aca="false">1 + (AC43 * AD43)</f>
        <v>1</v>
      </c>
    </row>
    <row r="44" customFormat="false" ht="12.75" hidden="false" customHeight="true" outlineLevel="0" collapsed="false">
      <c r="A44" s="24"/>
      <c r="B44" s="15"/>
      <c r="C44" s="15"/>
      <c r="D44" s="25"/>
      <c r="E44" s="25"/>
      <c r="F44" s="15"/>
      <c r="G44" s="15"/>
      <c r="H44" s="15"/>
      <c r="I44" s="15"/>
      <c r="J44" s="15"/>
      <c r="K44" s="15"/>
      <c r="L44" s="15"/>
      <c r="M44" s="15"/>
      <c r="N44" s="15"/>
      <c r="O44" s="15"/>
      <c r="P44" s="22" t="str">
        <f aca="false">IF(AC44&gt;=Reference!$H$2, Reference!$G$2, IF(AC44&gt;=Reference!$H$3, Reference!$G$3, IF(AC44&gt;=Reference!$H$4, Reference!$G$4, IF(AC44&gt;=Reference!$H$5, Reference!$G$5, ""))))</f>
        <v/>
      </c>
      <c r="Q44" s="22" t="str">
        <f aca="false">IF(F44="Physical", "Very Low", IF(F44="Local", "Low", IF(F44="Adjacent", "Medium", IF(F44="Network", "High", ""))))</f>
        <v/>
      </c>
      <c r="R44" s="22" t="str">
        <f aca="false">IF(AE44&gt;=Reference!$D$2, Reference!$G$2, IF(AE44&gt;=Reference!$D$3, Reference!$E$3, IF(AE44&gt;=Reference!$D$4, Reference!$E$4, IF(AE44&gt;=Reference!$D$5, Reference!$E$5, ""))))</f>
        <v>Low</v>
      </c>
      <c r="S44" s="27"/>
      <c r="T44" s="28"/>
      <c r="U44" s="15"/>
      <c r="V44" s="15"/>
      <c r="W44" s="15"/>
      <c r="Y44" s="16" t="n">
        <f aca="false">IF(H44=Reference!$A$12, Reference!$C$12, IF(H44=Reference!$A$11, Reference!$C$11, IF(H44=Reference!$A$10, Reference!$C$10, IF(H44=Reference!$A$9, Reference!$C$9, 0))))</f>
        <v>0</v>
      </c>
      <c r="Z44" s="16" t="n">
        <f aca="false">IF(J44=Reference!$A$20, Reference!$C$20, IF(J44=Reference!$A$19, Reference!$C$19, IF(J44=Reference!$A$18, Reference!$C$18, IF(J44=Reference!$A$17, Reference!$C$17, 0))))</f>
        <v>0</v>
      </c>
      <c r="AA44" s="16" t="n">
        <f aca="false">IF(L44=Reference!$A$28, Reference!$C$28, IF(L44=Reference!$A$27, Reference!$C$27, IF(L44=Reference!$A$26, Reference!$C$26, IF(L44=Reference!$A$25, Reference!$C$25, 0))))</f>
        <v>0</v>
      </c>
      <c r="AB44" s="16" t="n">
        <f aca="false">IF(N44=Reference!$A$36, Reference!$C$36, IF(N44=Reference!$A$35, Reference!$C$35, IF(N44=Reference!$A$34, Reference!$C$34, IF(N44=Reference!$A$33, Reference!$C$33, 0))))</f>
        <v>0</v>
      </c>
      <c r="AC44" s="16" t="n">
        <f aca="false">(Reference!$B$2*Y44 + Reference!$B$3*AA44 + Reference!$B$4*Z44 + Reference!$B$5 * AB44)/4</f>
        <v>0</v>
      </c>
      <c r="AD44" s="16" t="n">
        <f aca="false">IF(Q44=Reference!$C$41, Reference!$D$41, IF(Q44=Reference!$C$42, Reference!$D$42, IF(Q44=Reference!$C$43, Reference!$D$43, IF(Q44=Reference!$C$44, Reference!$D$44, 0))))</f>
        <v>0</v>
      </c>
      <c r="AE44" s="16" t="n">
        <f aca="false">1 + (AC44 * AD44)</f>
        <v>1</v>
      </c>
    </row>
    <row r="45" customFormat="false" ht="12.75" hidden="false" customHeight="true" outlineLevel="0" collapsed="false">
      <c r="A45" s="24"/>
      <c r="B45" s="15"/>
      <c r="C45" s="15"/>
      <c r="D45" s="31"/>
      <c r="E45" s="25"/>
      <c r="F45" s="15"/>
      <c r="G45" s="15"/>
      <c r="H45" s="15"/>
      <c r="I45" s="15"/>
      <c r="J45" s="15"/>
      <c r="K45" s="15"/>
      <c r="L45" s="15"/>
      <c r="M45" s="15"/>
      <c r="N45" s="15"/>
      <c r="O45" s="15"/>
      <c r="P45" s="22" t="str">
        <f aca="false">IF(AC45&gt;=Reference!$H$2, Reference!$G$2, IF(AC45&gt;=Reference!$H$3, Reference!$G$3, IF(AC45&gt;=Reference!$H$4, Reference!$G$4, IF(AC45&gt;=Reference!$H$5, Reference!$G$5, ""))))</f>
        <v/>
      </c>
      <c r="Q45" s="22" t="str">
        <f aca="false">IF(F45="Physical", "Very Low", IF(F45="Local", "Low", IF(F45="Adjacent", "Medium", IF(F45="Network", "High", ""))))</f>
        <v/>
      </c>
      <c r="R45" s="22" t="str">
        <f aca="false">IF(AE45&gt;=Reference!$D$2, Reference!$G$2, IF(AE45&gt;=Reference!$D$3, Reference!$E$3, IF(AE45&gt;=Reference!$D$4, Reference!$E$4, IF(AE45&gt;=Reference!$D$5, Reference!$E$5, ""))))</f>
        <v>Low</v>
      </c>
      <c r="S45" s="27"/>
      <c r="T45" s="32"/>
      <c r="U45" s="15"/>
      <c r="V45" s="15"/>
      <c r="W45" s="15"/>
      <c r="Y45" s="16" t="n">
        <f aca="false">IF(H45=Reference!$A$12, Reference!$C$12, IF(H45=Reference!$A$11, Reference!$C$11, IF(H45=Reference!$A$10, Reference!$C$10, IF(H45=Reference!$A$9, Reference!$C$9, 0))))</f>
        <v>0</v>
      </c>
      <c r="Z45" s="16" t="n">
        <f aca="false">IF(J45=Reference!$A$20, Reference!$C$20, IF(J45=Reference!$A$19, Reference!$C$19, IF(J45=Reference!$A$18, Reference!$C$18, IF(J45=Reference!$A$17, Reference!$C$17, 0))))</f>
        <v>0</v>
      </c>
      <c r="AA45" s="16" t="n">
        <f aca="false">IF(L45=Reference!$A$28, Reference!$C$28, IF(L45=Reference!$A$27, Reference!$C$27, IF(L45=Reference!$A$26, Reference!$C$26, IF(L45=Reference!$A$25, Reference!$C$25, 0))))</f>
        <v>0</v>
      </c>
      <c r="AB45" s="16" t="n">
        <f aca="false">IF(N45=Reference!$A$36, Reference!$C$36, IF(N45=Reference!$A$35, Reference!$C$35, IF(N45=Reference!$A$34, Reference!$C$34, IF(N45=Reference!$A$33, Reference!$C$33, 0))))</f>
        <v>0</v>
      </c>
      <c r="AC45" s="16" t="n">
        <f aca="false">(Reference!$B$2*Y45 + Reference!$B$3*AA45 + Reference!$B$4*Z45 + Reference!$B$5 * AB45)/4</f>
        <v>0</v>
      </c>
      <c r="AD45" s="16" t="n">
        <f aca="false">IF(Q45=Reference!$C$41, Reference!$D$41, IF(Q45=Reference!$C$42, Reference!$D$42, IF(Q45=Reference!$C$43, Reference!$D$43, IF(Q45=Reference!$C$44, Reference!$D$44, 0))))</f>
        <v>0</v>
      </c>
      <c r="AE45" s="16" t="n">
        <f aca="false">1 + (AC45 * AD45)</f>
        <v>1</v>
      </c>
    </row>
    <row r="46" customFormat="false" ht="12.75" hidden="false" customHeight="true" outlineLevel="0" collapsed="false">
      <c r="A46" s="24"/>
      <c r="B46" s="15"/>
      <c r="C46" s="15"/>
      <c r="D46" s="25"/>
      <c r="E46" s="25"/>
      <c r="F46" s="15"/>
      <c r="G46" s="15"/>
      <c r="H46" s="15"/>
      <c r="I46" s="15"/>
      <c r="J46" s="15"/>
      <c r="K46" s="15"/>
      <c r="L46" s="15"/>
      <c r="M46" s="15"/>
      <c r="N46" s="15"/>
      <c r="O46" s="15"/>
      <c r="P46" s="22" t="str">
        <f aca="false">IF(AC46&gt;=Reference!$H$2, Reference!$G$2, IF(AC46&gt;=Reference!$H$3, Reference!$G$3, IF(AC46&gt;=Reference!$H$4, Reference!$G$4, IF(AC46&gt;=Reference!$H$5, Reference!$G$5, ""))))</f>
        <v/>
      </c>
      <c r="Q46" s="22" t="str">
        <f aca="false">IF(F46="Physical", "Very Low", IF(F46="Local", "Low", IF(F46="Adjacent", "Medium", IF(F46="Network", "High", ""))))</f>
        <v/>
      </c>
      <c r="R46" s="22" t="str">
        <f aca="false">IF(AE46&gt;=Reference!$D$2, Reference!$G$2, IF(AE46&gt;=Reference!$D$3, Reference!$E$3, IF(AE46&gt;=Reference!$D$4, Reference!$E$4, IF(AE46&gt;=Reference!$D$5, Reference!$E$5, ""))))</f>
        <v>Low</v>
      </c>
      <c r="S46" s="27"/>
      <c r="T46" s="28"/>
      <c r="U46" s="15"/>
      <c r="V46" s="15"/>
      <c r="W46" s="15"/>
      <c r="Y46" s="16" t="n">
        <f aca="false">IF(H46=Reference!$A$12, Reference!$C$12, IF(H46=Reference!$A$11, Reference!$C$11, IF(H46=Reference!$A$10, Reference!$C$10, IF(H46=Reference!$A$9, Reference!$C$9, 0))))</f>
        <v>0</v>
      </c>
      <c r="Z46" s="16" t="n">
        <f aca="false">IF(J46=Reference!$A$20, Reference!$C$20, IF(J46=Reference!$A$19, Reference!$C$19, IF(J46=Reference!$A$18, Reference!$C$18, IF(J46=Reference!$A$17, Reference!$C$17, 0))))</f>
        <v>0</v>
      </c>
      <c r="AA46" s="16" t="n">
        <f aca="false">IF(L46=Reference!$A$28, Reference!$C$28, IF(L46=Reference!$A$27, Reference!$C$27, IF(L46=Reference!$A$26, Reference!$C$26, IF(L46=Reference!$A$25, Reference!$C$25, 0))))</f>
        <v>0</v>
      </c>
      <c r="AB46" s="16" t="n">
        <f aca="false">IF(N46=Reference!$A$36, Reference!$C$36, IF(N46=Reference!$A$35, Reference!$C$35, IF(N46=Reference!$A$34, Reference!$C$34, IF(N46=Reference!$A$33, Reference!$C$33, 0))))</f>
        <v>0</v>
      </c>
      <c r="AC46" s="16" t="n">
        <f aca="false">(Reference!$B$2*Y46 + Reference!$B$3*AA46 + Reference!$B$4*Z46 + Reference!$B$5 * AB46)/4</f>
        <v>0</v>
      </c>
      <c r="AD46" s="16" t="n">
        <f aca="false">IF(Q46=Reference!$C$41, Reference!$D$41, IF(Q46=Reference!$C$42, Reference!$D$42, IF(Q46=Reference!$C$43, Reference!$D$43, IF(Q46=Reference!$C$44, Reference!$D$44, 0))))</f>
        <v>0</v>
      </c>
      <c r="AE46" s="16" t="n">
        <f aca="false">1 + (AC46 * AD46)</f>
        <v>1</v>
      </c>
    </row>
    <row r="47" customFormat="false" ht="12.75" hidden="false" customHeight="true" outlineLevel="0" collapsed="false">
      <c r="A47" s="24"/>
      <c r="B47" s="15"/>
      <c r="C47" s="15"/>
      <c r="D47" s="25"/>
      <c r="E47" s="25"/>
      <c r="F47" s="15"/>
      <c r="G47" s="15"/>
      <c r="H47" s="15"/>
      <c r="I47" s="15"/>
      <c r="J47" s="15"/>
      <c r="K47" s="15"/>
      <c r="L47" s="15"/>
      <c r="M47" s="15"/>
      <c r="N47" s="15"/>
      <c r="O47" s="15"/>
      <c r="P47" s="22" t="str">
        <f aca="false">IF(AC47&gt;=Reference!$H$2, Reference!$G$2, IF(AC47&gt;=Reference!$H$3, Reference!$G$3, IF(AC47&gt;=Reference!$H$4, Reference!$G$4, IF(AC47&gt;=Reference!$H$5, Reference!$G$5, ""))))</f>
        <v/>
      </c>
      <c r="Q47" s="22" t="str">
        <f aca="false">IF(F47="Physical", "Very Low", IF(F47="Local", "Low", IF(F47="Adjacent", "Medium", IF(F47="Network", "High", ""))))</f>
        <v/>
      </c>
      <c r="R47" s="22" t="str">
        <f aca="false">IF(AE47&gt;=Reference!$D$2, Reference!$G$2, IF(AE47&gt;=Reference!$D$3, Reference!$E$3, IF(AE47&gt;=Reference!$D$4, Reference!$E$4, IF(AE47&gt;=Reference!$D$5, Reference!$E$5, ""))))</f>
        <v>Low</v>
      </c>
      <c r="S47" s="27"/>
      <c r="T47" s="28"/>
      <c r="U47" s="15"/>
      <c r="V47" s="15"/>
      <c r="W47" s="15"/>
      <c r="Y47" s="16" t="n">
        <f aca="false">IF(H47=Reference!$A$12, Reference!$C$12, IF(H47=Reference!$A$11, Reference!$C$11, IF(H47=Reference!$A$10, Reference!$C$10, IF(H47=Reference!$A$9, Reference!$C$9, 0))))</f>
        <v>0</v>
      </c>
      <c r="Z47" s="16" t="n">
        <f aca="false">IF(J47=Reference!$A$20, Reference!$C$20, IF(J47=Reference!$A$19, Reference!$C$19, IF(J47=Reference!$A$18, Reference!$C$18, IF(J47=Reference!$A$17, Reference!$C$17, 0))))</f>
        <v>0</v>
      </c>
      <c r="AA47" s="16" t="n">
        <f aca="false">IF(L47=Reference!$A$28, Reference!$C$28, IF(L47=Reference!$A$27, Reference!$C$27, IF(L47=Reference!$A$26, Reference!$C$26, IF(L47=Reference!$A$25, Reference!$C$25, 0))))</f>
        <v>0</v>
      </c>
      <c r="AB47" s="16" t="n">
        <f aca="false">IF(N47=Reference!$A$36, Reference!$C$36, IF(N47=Reference!$A$35, Reference!$C$35, IF(N47=Reference!$A$34, Reference!$C$34, IF(N47=Reference!$A$33, Reference!$C$33, 0))))</f>
        <v>0</v>
      </c>
      <c r="AC47" s="16" t="n">
        <f aca="false">(Reference!$B$2*Y47 + Reference!$B$3*AA47 + Reference!$B$4*Z47 + Reference!$B$5 * AB47)/4</f>
        <v>0</v>
      </c>
      <c r="AD47" s="16" t="n">
        <f aca="false">IF(Q47=Reference!$C$41, Reference!$D$41, IF(Q47=Reference!$C$42, Reference!$D$42, IF(Q47=Reference!$C$43, Reference!$D$43, IF(Q47=Reference!$C$44, Reference!$D$44, 0))))</f>
        <v>0</v>
      </c>
      <c r="AE47" s="16" t="n">
        <f aca="false">1 + (AC47 * AD47)</f>
        <v>1</v>
      </c>
    </row>
    <row r="48" customFormat="false" ht="12.75" hidden="false" customHeight="true" outlineLevel="0" collapsed="false">
      <c r="A48" s="24"/>
      <c r="B48" s="15"/>
      <c r="C48" s="15"/>
      <c r="D48" s="25"/>
      <c r="E48" s="25"/>
      <c r="F48" s="15"/>
      <c r="G48" s="15"/>
      <c r="H48" s="15"/>
      <c r="I48" s="15"/>
      <c r="J48" s="15"/>
      <c r="K48" s="15"/>
      <c r="L48" s="15"/>
      <c r="M48" s="15"/>
      <c r="N48" s="15"/>
      <c r="O48" s="15"/>
      <c r="P48" s="22" t="str">
        <f aca="false">IF(AC48&gt;=Reference!$H$2, Reference!$G$2, IF(AC48&gt;=Reference!$H$3, Reference!$G$3, IF(AC48&gt;=Reference!$H$4, Reference!$G$4, IF(AC48&gt;=Reference!$H$5, Reference!$G$5, ""))))</f>
        <v/>
      </c>
      <c r="Q48" s="22" t="str">
        <f aca="false">IF(F48="Physical", "Very Low", IF(F48="Local", "Low", IF(F48="Adjacent", "Medium", IF(F48="Network", "High", ""))))</f>
        <v/>
      </c>
      <c r="R48" s="22" t="str">
        <f aca="false">IF(AE48&gt;=Reference!$D$2, Reference!$G$2, IF(AE48&gt;=Reference!$D$3, Reference!$E$3, IF(AE48&gt;=Reference!$D$4, Reference!$E$4, IF(AE48&gt;=Reference!$D$5, Reference!$E$5, ""))))</f>
        <v>Low</v>
      </c>
      <c r="S48" s="27"/>
      <c r="T48" s="28"/>
      <c r="U48" s="15"/>
      <c r="V48" s="15"/>
      <c r="W48" s="15"/>
      <c r="Y48" s="16" t="n">
        <f aca="false">IF(H48=Reference!$A$12, Reference!$C$12, IF(H48=Reference!$A$11, Reference!$C$11, IF(H48=Reference!$A$10, Reference!$C$10, IF(H48=Reference!$A$9, Reference!$C$9, 0))))</f>
        <v>0</v>
      </c>
      <c r="Z48" s="16" t="n">
        <f aca="false">IF(J48=Reference!$A$20, Reference!$C$20, IF(J48=Reference!$A$19, Reference!$C$19, IF(J48=Reference!$A$18, Reference!$C$18, IF(J48=Reference!$A$17, Reference!$C$17, 0))))</f>
        <v>0</v>
      </c>
      <c r="AA48" s="16" t="n">
        <f aca="false">IF(L48=Reference!$A$28, Reference!$C$28, IF(L48=Reference!$A$27, Reference!$C$27, IF(L48=Reference!$A$26, Reference!$C$26, IF(L48=Reference!$A$25, Reference!$C$25, 0))))</f>
        <v>0</v>
      </c>
      <c r="AB48" s="16" t="n">
        <f aca="false">IF(N48=Reference!$A$36, Reference!$C$36, IF(N48=Reference!$A$35, Reference!$C$35, IF(N48=Reference!$A$34, Reference!$C$34, IF(N48=Reference!$A$33, Reference!$C$33, 0))))</f>
        <v>0</v>
      </c>
      <c r="AC48" s="16" t="n">
        <f aca="false">(Reference!$B$2*Y48 + Reference!$B$3*AA48 + Reference!$B$4*Z48 + Reference!$B$5 * AB48)/4</f>
        <v>0</v>
      </c>
      <c r="AD48" s="16" t="n">
        <f aca="false">IF(Q48=Reference!$C$41, Reference!$D$41, IF(Q48=Reference!$C$42, Reference!$D$42, IF(Q48=Reference!$C$43, Reference!$D$43, IF(Q48=Reference!$C$44, Reference!$D$44, 0))))</f>
        <v>0</v>
      </c>
      <c r="AE48" s="16" t="n">
        <f aca="false">1 + (AC48 * AD48)</f>
        <v>1</v>
      </c>
    </row>
    <row r="49" customFormat="false" ht="12.75" hidden="false" customHeight="true" outlineLevel="0" collapsed="false">
      <c r="A49" s="24"/>
      <c r="B49" s="15"/>
      <c r="C49" s="15"/>
      <c r="D49" s="25"/>
      <c r="E49" s="25"/>
      <c r="F49" s="15"/>
      <c r="G49" s="15"/>
      <c r="H49" s="15"/>
      <c r="I49" s="15"/>
      <c r="J49" s="15"/>
      <c r="K49" s="15"/>
      <c r="L49" s="15"/>
      <c r="M49" s="15"/>
      <c r="N49" s="15"/>
      <c r="O49" s="15"/>
      <c r="P49" s="22" t="str">
        <f aca="false">IF(AC49&gt;=Reference!$H$2, Reference!$G$2, IF(AC49&gt;=Reference!$H$3, Reference!$G$3, IF(AC49&gt;=Reference!$H$4, Reference!$G$4, IF(AC49&gt;=Reference!$H$5, Reference!$G$5, ""))))</f>
        <v/>
      </c>
      <c r="Q49" s="22" t="str">
        <f aca="false">IF(F49="Physical", "Very Low", IF(F49="Local", "Low", IF(F49="Adjacent", "Medium", IF(F49="Network", "High", ""))))</f>
        <v/>
      </c>
      <c r="R49" s="22" t="str">
        <f aca="false">IF(AE49&gt;=Reference!$D$2, Reference!$G$2, IF(AE49&gt;=Reference!$D$3, Reference!$E$3, IF(AE49&gt;=Reference!$D$4, Reference!$E$4, IF(AE49&gt;=Reference!$D$5, Reference!$E$5, ""))))</f>
        <v>Low</v>
      </c>
      <c r="S49" s="27"/>
      <c r="T49" s="28"/>
      <c r="U49" s="15"/>
      <c r="V49" s="15"/>
      <c r="W49" s="15"/>
      <c r="Y49" s="16" t="n">
        <f aca="false">IF(H49=Reference!$A$12, Reference!$C$12, IF(H49=Reference!$A$11, Reference!$C$11, IF(H49=Reference!$A$10, Reference!$C$10, IF(H49=Reference!$A$9, Reference!$C$9, 0))))</f>
        <v>0</v>
      </c>
      <c r="Z49" s="16" t="n">
        <f aca="false">IF(J49=Reference!$A$20, Reference!$C$20, IF(J49=Reference!$A$19, Reference!$C$19, IF(J49=Reference!$A$18, Reference!$C$18, IF(J49=Reference!$A$17, Reference!$C$17, 0))))</f>
        <v>0</v>
      </c>
      <c r="AA49" s="16" t="n">
        <f aca="false">IF(L49=Reference!$A$28, Reference!$C$28, IF(L49=Reference!$A$27, Reference!$C$27, IF(L49=Reference!$A$26, Reference!$C$26, IF(L49=Reference!$A$25, Reference!$C$25, 0))))</f>
        <v>0</v>
      </c>
      <c r="AB49" s="16" t="n">
        <f aca="false">IF(N49=Reference!$A$36, Reference!$C$36, IF(N49=Reference!$A$35, Reference!$C$35, IF(N49=Reference!$A$34, Reference!$C$34, IF(N49=Reference!$A$33, Reference!$C$33, 0))))</f>
        <v>0</v>
      </c>
      <c r="AC49" s="16" t="n">
        <f aca="false">(Reference!$B$2*Y49 + Reference!$B$3*AA49 + Reference!$B$4*Z49 + Reference!$B$5 * AB49)/4</f>
        <v>0</v>
      </c>
      <c r="AD49" s="16" t="n">
        <f aca="false">IF(Q49=Reference!$C$41, Reference!$D$41, IF(Q49=Reference!$C$42, Reference!$D$42, IF(Q49=Reference!$C$43, Reference!$D$43, IF(Q49=Reference!$C$44, Reference!$D$44, 0))))</f>
        <v>0</v>
      </c>
      <c r="AE49" s="16" t="n">
        <f aca="false">1 + (AC49 * AD49)</f>
        <v>1</v>
      </c>
    </row>
    <row r="50" customFormat="false" ht="12.75" hidden="false" customHeight="true" outlineLevel="0" collapsed="false">
      <c r="A50" s="24"/>
      <c r="B50" s="15"/>
      <c r="C50" s="15"/>
      <c r="D50" s="25"/>
      <c r="E50" s="25"/>
      <c r="F50" s="15"/>
      <c r="G50" s="15"/>
      <c r="H50" s="15"/>
      <c r="I50" s="15"/>
      <c r="J50" s="15"/>
      <c r="K50" s="26"/>
      <c r="L50" s="15"/>
      <c r="M50" s="26"/>
      <c r="N50" s="15"/>
      <c r="O50" s="26"/>
      <c r="P50" s="22" t="str">
        <f aca="false">IF(AC50&gt;=Reference!$H$2, Reference!$G$2, IF(AC50&gt;=Reference!$H$3, Reference!$G$3, IF(AC50&gt;=Reference!$H$4, Reference!$G$4, IF(AC50&gt;=Reference!$H$5, Reference!$G$5, ""))))</f>
        <v/>
      </c>
      <c r="Q50" s="22" t="str">
        <f aca="false">IF(F50="Physical", "Very Low", IF(F50="Local", "Low", IF(F50="Adjacent", "Medium", IF(F50="Network", "High", ""))))</f>
        <v/>
      </c>
      <c r="R50" s="22" t="str">
        <f aca="false">IF(AE50&gt;=Reference!$D$2, Reference!$G$2, IF(AE50&gt;=Reference!$D$3, Reference!$E$3, IF(AE50&gt;=Reference!$D$4, Reference!$E$4, IF(AE50&gt;=Reference!$D$5, Reference!$E$5, ""))))</f>
        <v>Low</v>
      </c>
      <c r="S50" s="27"/>
      <c r="T50" s="28"/>
      <c r="U50" s="15"/>
      <c r="V50" s="15"/>
      <c r="W50" s="15"/>
      <c r="Y50" s="16" t="n">
        <f aca="false">IF(H50=Reference!$A$12, Reference!$C$12, IF(H50=Reference!$A$11, Reference!$C$11, IF(H50=Reference!$A$10, Reference!$C$10, IF(H50=Reference!$A$9, Reference!$C$9, 0))))</f>
        <v>0</v>
      </c>
      <c r="Z50" s="16" t="n">
        <f aca="false">IF(J50=Reference!$A$20, Reference!$C$20, IF(J50=Reference!$A$19, Reference!$C$19, IF(J50=Reference!$A$18, Reference!$C$18, IF(J50=Reference!$A$17, Reference!$C$17, 0))))</f>
        <v>0</v>
      </c>
      <c r="AA50" s="16" t="n">
        <f aca="false">IF(L50=Reference!$A$28, Reference!$C$28, IF(L50=Reference!$A$27, Reference!$C$27, IF(L50=Reference!$A$26, Reference!$C$26, IF(L50=Reference!$A$25, Reference!$C$25, 0))))</f>
        <v>0</v>
      </c>
      <c r="AB50" s="16" t="n">
        <f aca="false">IF(N50=Reference!$A$36, Reference!$C$36, IF(N50=Reference!$A$35, Reference!$C$35, IF(N50=Reference!$A$34, Reference!$C$34, IF(N50=Reference!$A$33, Reference!$C$33, 0))))</f>
        <v>0</v>
      </c>
      <c r="AC50" s="16" t="n">
        <f aca="false">(Reference!$B$2*Y50 + Reference!$B$3*AA50 + Reference!$B$4*Z50 + Reference!$B$5 * AB50)/4</f>
        <v>0</v>
      </c>
      <c r="AD50" s="16" t="n">
        <f aca="false">IF(Q50=Reference!$C$41, Reference!$D$41, IF(Q50=Reference!$C$42, Reference!$D$42, IF(Q50=Reference!$C$43, Reference!$D$43, IF(Q50=Reference!$C$44, Reference!$D$44, 0))))</f>
        <v>0</v>
      </c>
      <c r="AE50" s="16" t="n">
        <f aca="false">1 + (AC50 * AD50)</f>
        <v>1</v>
      </c>
    </row>
    <row r="51" customFormat="false" ht="12.75" hidden="false" customHeight="true" outlineLevel="0" collapsed="false">
      <c r="A51" s="24"/>
      <c r="B51" s="15"/>
      <c r="C51" s="15"/>
      <c r="D51" s="25"/>
      <c r="E51" s="25"/>
      <c r="F51" s="15"/>
      <c r="G51" s="15"/>
      <c r="H51" s="15"/>
      <c r="I51" s="15"/>
      <c r="J51" s="15"/>
      <c r="K51" s="15"/>
      <c r="L51" s="15"/>
      <c r="M51" s="15"/>
      <c r="N51" s="15"/>
      <c r="O51" s="15"/>
      <c r="P51" s="22" t="str">
        <f aca="false">IF(AC51&gt;=Reference!$H$2, Reference!$G$2, IF(AC51&gt;=Reference!$H$3, Reference!$G$3, IF(AC51&gt;=Reference!$H$4, Reference!$G$4, IF(AC51&gt;=Reference!$H$5, Reference!$G$5, ""))))</f>
        <v/>
      </c>
      <c r="Q51" s="22" t="str">
        <f aca="false">IF(F51="Physical", "Very Low", IF(F51="Local", "Low", IF(F51="Adjacent", "Medium", IF(F51="Network", "High", ""))))</f>
        <v/>
      </c>
      <c r="R51" s="22" t="str">
        <f aca="false">IF(AE51&gt;=Reference!$D$2, Reference!$G$2, IF(AE51&gt;=Reference!$D$3, Reference!$E$3, IF(AE51&gt;=Reference!$D$4, Reference!$E$4, IF(AE51&gt;=Reference!$D$5, Reference!$E$5, ""))))</f>
        <v>Low</v>
      </c>
      <c r="S51" s="27"/>
      <c r="T51" s="28"/>
      <c r="U51" s="15"/>
      <c r="V51" s="15"/>
      <c r="W51" s="15"/>
      <c r="Y51" s="16" t="n">
        <f aca="false">IF(H51=Reference!$A$12, Reference!$C$12, IF(H51=Reference!$A$11, Reference!$C$11, IF(H51=Reference!$A$10, Reference!$C$10, IF(H51=Reference!$A$9, Reference!$C$9, 0))))</f>
        <v>0</v>
      </c>
      <c r="Z51" s="16" t="n">
        <f aca="false">IF(J51=Reference!$A$20, Reference!$C$20, IF(J51=Reference!$A$19, Reference!$C$19, IF(J51=Reference!$A$18, Reference!$C$18, IF(J51=Reference!$A$17, Reference!$C$17, 0))))</f>
        <v>0</v>
      </c>
      <c r="AA51" s="16" t="n">
        <f aca="false">IF(L51=Reference!$A$28, Reference!$C$28, IF(L51=Reference!$A$27, Reference!$C$27, IF(L51=Reference!$A$26, Reference!$C$26, IF(L51=Reference!$A$25, Reference!$C$25, 0))))</f>
        <v>0</v>
      </c>
      <c r="AB51" s="16" t="n">
        <f aca="false">IF(N51=Reference!$A$36, Reference!$C$36, IF(N51=Reference!$A$35, Reference!$C$35, IF(N51=Reference!$A$34, Reference!$C$34, IF(N51=Reference!$A$33, Reference!$C$33, 0))))</f>
        <v>0</v>
      </c>
      <c r="AC51" s="16" t="n">
        <f aca="false">(Reference!$B$2*Y51 + Reference!$B$3*AA51 + Reference!$B$4*Z51 + Reference!$B$5 * AB51)/4</f>
        <v>0</v>
      </c>
      <c r="AD51" s="16" t="n">
        <f aca="false">IF(Q51=Reference!$C$41, Reference!$D$41, IF(Q51=Reference!$C$42, Reference!$D$42, IF(Q51=Reference!$C$43, Reference!$D$43, IF(Q51=Reference!$C$44, Reference!$D$44, 0))))</f>
        <v>0</v>
      </c>
      <c r="AE51" s="16" t="n">
        <f aca="false">1 + (AC51 * AD51)</f>
        <v>1</v>
      </c>
    </row>
    <row r="52" customFormat="false" ht="12.75" hidden="false" customHeight="true" outlineLevel="0" collapsed="false">
      <c r="A52" s="24"/>
      <c r="B52" s="15"/>
      <c r="C52" s="15"/>
      <c r="D52" s="25"/>
      <c r="E52" s="25"/>
      <c r="F52" s="15"/>
      <c r="G52" s="15"/>
      <c r="H52" s="15"/>
      <c r="I52" s="15"/>
      <c r="J52" s="15"/>
      <c r="K52" s="15"/>
      <c r="L52" s="15"/>
      <c r="M52" s="15"/>
      <c r="N52" s="15"/>
      <c r="O52" s="15"/>
      <c r="P52" s="22" t="str">
        <f aca="false">IF(AC52&gt;=Reference!$H$2, Reference!$G$2, IF(AC52&gt;=Reference!$H$3, Reference!$G$3, IF(AC52&gt;=Reference!$H$4, Reference!$G$4, IF(AC52&gt;=Reference!$H$5, Reference!$G$5, ""))))</f>
        <v/>
      </c>
      <c r="Q52" s="22" t="str">
        <f aca="false">IF(F52="Physical", "Very Low", IF(F52="Local", "Low", IF(F52="Adjacent", "Medium", IF(F52="Network", "High", ""))))</f>
        <v/>
      </c>
      <c r="R52" s="22" t="str">
        <f aca="false">IF(AE52&gt;=Reference!$D$2, Reference!$G$2, IF(AE52&gt;=Reference!$D$3, Reference!$E$3, IF(AE52&gt;=Reference!$D$4, Reference!$E$4, IF(AE52&gt;=Reference!$D$5, Reference!$E$5, ""))))</f>
        <v>Low</v>
      </c>
      <c r="S52" s="27"/>
      <c r="T52" s="28"/>
      <c r="U52" s="15"/>
      <c r="V52" s="15"/>
      <c r="W52" s="15"/>
      <c r="Y52" s="16" t="n">
        <f aca="false">IF(H52=Reference!$A$12, Reference!$C$12, IF(H52=Reference!$A$11, Reference!$C$11, IF(H52=Reference!$A$10, Reference!$C$10, IF(H52=Reference!$A$9, Reference!$C$9, 0))))</f>
        <v>0</v>
      </c>
      <c r="Z52" s="16" t="n">
        <f aca="false">IF(J52=Reference!$A$20, Reference!$C$20, IF(J52=Reference!$A$19, Reference!$C$19, IF(J52=Reference!$A$18, Reference!$C$18, IF(J52=Reference!$A$17, Reference!$C$17, 0))))</f>
        <v>0</v>
      </c>
      <c r="AA52" s="16" t="n">
        <f aca="false">IF(L52=Reference!$A$28, Reference!$C$28, IF(L52=Reference!$A$27, Reference!$C$27, IF(L52=Reference!$A$26, Reference!$C$26, IF(L52=Reference!$A$25, Reference!$C$25, 0))))</f>
        <v>0</v>
      </c>
      <c r="AB52" s="16" t="n">
        <f aca="false">IF(N52=Reference!$A$36, Reference!$C$36, IF(N52=Reference!$A$35, Reference!$C$35, IF(N52=Reference!$A$34, Reference!$C$34, IF(N52=Reference!$A$33, Reference!$C$33, 0))))</f>
        <v>0</v>
      </c>
      <c r="AC52" s="16" t="n">
        <f aca="false">(Reference!$B$2*Y52 + Reference!$B$3*AA52 + Reference!$B$4*Z52 + Reference!$B$5 * AB52)/4</f>
        <v>0</v>
      </c>
      <c r="AD52" s="16" t="n">
        <f aca="false">IF(Q52=Reference!$C$41, Reference!$D$41, IF(Q52=Reference!$C$42, Reference!$D$42, IF(Q52=Reference!$C$43, Reference!$D$43, IF(Q52=Reference!$C$44, Reference!$D$44, 0))))</f>
        <v>0</v>
      </c>
      <c r="AE52" s="16" t="n">
        <f aca="false">1 + (AC52 * AD52)</f>
        <v>1</v>
      </c>
    </row>
    <row r="53" customFormat="false" ht="12.75" hidden="false" customHeight="true" outlineLevel="0" collapsed="false">
      <c r="A53" s="24"/>
      <c r="B53" s="15"/>
      <c r="C53" s="15"/>
      <c r="D53" s="31"/>
      <c r="E53" s="25"/>
      <c r="F53" s="15"/>
      <c r="G53" s="15"/>
      <c r="H53" s="15"/>
      <c r="I53" s="15"/>
      <c r="J53" s="15"/>
      <c r="K53" s="33"/>
      <c r="L53" s="15"/>
      <c r="M53" s="15"/>
      <c r="N53" s="15"/>
      <c r="O53" s="15"/>
      <c r="P53" s="22" t="str">
        <f aca="false">IF(AC53&gt;=Reference!$H$2, Reference!$G$2, IF(AC53&gt;=Reference!$H$3, Reference!$G$3, IF(AC53&gt;=Reference!$H$4, Reference!$G$4, IF(AC53&gt;=Reference!$H$5, Reference!$G$5, ""))))</f>
        <v/>
      </c>
      <c r="Q53" s="22" t="str">
        <f aca="false">IF(F53="Physical", "Very Low", IF(F53="Local", "Low", IF(F53="Adjacent", "Medium", IF(F53="Network", "High", ""))))</f>
        <v/>
      </c>
      <c r="R53" s="22" t="str">
        <f aca="false">IF(AE53&gt;=Reference!$D$2, Reference!$G$2, IF(AE53&gt;=Reference!$D$3, Reference!$E$3, IF(AE53&gt;=Reference!$D$4, Reference!$E$4, IF(AE53&gt;=Reference!$D$5, Reference!$E$5, ""))))</f>
        <v>Low</v>
      </c>
      <c r="S53" s="27"/>
      <c r="T53" s="28"/>
      <c r="U53" s="15"/>
      <c r="V53" s="15"/>
      <c r="W53" s="15"/>
      <c r="Y53" s="16" t="n">
        <f aca="false">IF(H53=Reference!$A$12, Reference!$C$12, IF(H53=Reference!$A$11, Reference!$C$11, IF(H53=Reference!$A$10, Reference!$C$10, IF(H53=Reference!$A$9, Reference!$C$9, 0))))</f>
        <v>0</v>
      </c>
      <c r="Z53" s="16" t="n">
        <f aca="false">IF(J53=Reference!$A$20, Reference!$C$20, IF(J53=Reference!$A$19, Reference!$C$19, IF(J53=Reference!$A$18, Reference!$C$18, IF(J53=Reference!$A$17, Reference!$C$17, 0))))</f>
        <v>0</v>
      </c>
      <c r="AA53" s="16" t="n">
        <f aca="false">IF(L53=Reference!$A$28, Reference!$C$28, IF(L53=Reference!$A$27, Reference!$C$27, IF(L53=Reference!$A$26, Reference!$C$26, IF(L53=Reference!$A$25, Reference!$C$25, 0))))</f>
        <v>0</v>
      </c>
      <c r="AB53" s="16" t="n">
        <f aca="false">IF(N53=Reference!$A$36, Reference!$C$36, IF(N53=Reference!$A$35, Reference!$C$35, IF(N53=Reference!$A$34, Reference!$C$34, IF(N53=Reference!$A$33, Reference!$C$33, 0))))</f>
        <v>0</v>
      </c>
      <c r="AC53" s="16" t="n">
        <f aca="false">(Reference!$B$2*Y53 + Reference!$B$3*AA53 + Reference!$B$4*Z53 + Reference!$B$5 * AB53)/4</f>
        <v>0</v>
      </c>
      <c r="AD53" s="16" t="n">
        <f aca="false">IF(Q53=Reference!$C$41, Reference!$D$41, IF(Q53=Reference!$C$42, Reference!$D$42, IF(Q53=Reference!$C$43, Reference!$D$43, IF(Q53=Reference!$C$44, Reference!$D$44, 0))))</f>
        <v>0</v>
      </c>
      <c r="AE53" s="16" t="n">
        <f aca="false">1 + (AC53 * AD53)</f>
        <v>1</v>
      </c>
    </row>
    <row r="54" customFormat="false" ht="12.75" hidden="false" customHeight="true" outlineLevel="0" collapsed="false">
      <c r="A54" s="24"/>
      <c r="B54" s="15"/>
      <c r="C54" s="15"/>
      <c r="D54" s="31"/>
      <c r="E54" s="25"/>
      <c r="F54" s="15"/>
      <c r="G54" s="15"/>
      <c r="H54" s="15"/>
      <c r="I54" s="15"/>
      <c r="J54" s="15"/>
      <c r="K54" s="15"/>
      <c r="L54" s="15"/>
      <c r="M54" s="15"/>
      <c r="N54" s="15"/>
      <c r="O54" s="33"/>
      <c r="P54" s="22" t="str">
        <f aca="false">IF(AC54&gt;=Reference!$H$2, Reference!$G$2, IF(AC54&gt;=Reference!$H$3, Reference!$G$3, IF(AC54&gt;=Reference!$H$4, Reference!$G$4, IF(AC54&gt;=Reference!$H$5, Reference!$G$5, ""))))</f>
        <v/>
      </c>
      <c r="Q54" s="22" t="str">
        <f aca="false">IF(F54="Physical", "Very Low", IF(F54="Local", "Low", IF(F54="Adjacent", "Medium", IF(F54="Network", "High", ""))))</f>
        <v/>
      </c>
      <c r="R54" s="22" t="str">
        <f aca="false">IF(AE54&gt;=Reference!$D$2, Reference!$G$2, IF(AE54&gt;=Reference!$D$3, Reference!$E$3, IF(AE54&gt;=Reference!$D$4, Reference!$E$4, IF(AE54&gt;=Reference!$D$5, Reference!$E$5, ""))))</f>
        <v>Low</v>
      </c>
      <c r="S54" s="27"/>
      <c r="T54" s="28"/>
      <c r="U54" s="15"/>
      <c r="V54" s="15"/>
      <c r="W54" s="15"/>
      <c r="Y54" s="16" t="n">
        <f aca="false">IF(H54=Reference!$A$12, Reference!$C$12, IF(H54=Reference!$A$11, Reference!$C$11, IF(H54=Reference!$A$10, Reference!$C$10, IF(H54=Reference!$A$9, Reference!$C$9, 0))))</f>
        <v>0</v>
      </c>
      <c r="Z54" s="16" t="n">
        <f aca="false">IF(J54=Reference!$A$20, Reference!$C$20, IF(J54=Reference!$A$19, Reference!$C$19, IF(J54=Reference!$A$18, Reference!$C$18, IF(J54=Reference!$A$17, Reference!$C$17, 0))))</f>
        <v>0</v>
      </c>
      <c r="AA54" s="16" t="n">
        <f aca="false">IF(L54=Reference!$A$28, Reference!$C$28, IF(L54=Reference!$A$27, Reference!$C$27, IF(L54=Reference!$A$26, Reference!$C$26, IF(L54=Reference!$A$25, Reference!$C$25, 0))))</f>
        <v>0</v>
      </c>
      <c r="AB54" s="16" t="n">
        <f aca="false">IF(N54=Reference!$A$36, Reference!$C$36, IF(N54=Reference!$A$35, Reference!$C$35, IF(N54=Reference!$A$34, Reference!$C$34, IF(N54=Reference!$A$33, Reference!$C$33, 0))))</f>
        <v>0</v>
      </c>
      <c r="AC54" s="16" t="n">
        <f aca="false">(Reference!$B$2*Y54 + Reference!$B$3*AA54 + Reference!$B$4*Z54 + Reference!$B$5 * AB54)/4</f>
        <v>0</v>
      </c>
      <c r="AD54" s="16" t="n">
        <f aca="false">IF(Q54=Reference!$C$41, Reference!$D$41, IF(Q54=Reference!$C$42, Reference!$D$42, IF(Q54=Reference!$C$43, Reference!$D$43, IF(Q54=Reference!$C$44, Reference!$D$44, 0))))</f>
        <v>0</v>
      </c>
      <c r="AE54" s="16" t="n">
        <f aca="false">1 + (AC54 * AD54)</f>
        <v>1</v>
      </c>
    </row>
    <row r="55" customFormat="false" ht="12.75" hidden="false" customHeight="true" outlineLevel="0" collapsed="false">
      <c r="A55" s="24"/>
      <c r="B55" s="15"/>
      <c r="C55" s="15"/>
      <c r="D55" s="25"/>
      <c r="E55" s="25"/>
      <c r="F55" s="15"/>
      <c r="G55" s="15"/>
      <c r="H55" s="15"/>
      <c r="I55" s="15"/>
      <c r="J55" s="15"/>
      <c r="K55" s="15"/>
      <c r="L55" s="15"/>
      <c r="M55" s="15"/>
      <c r="N55" s="15"/>
      <c r="O55" s="15"/>
      <c r="P55" s="22" t="str">
        <f aca="false">IF(AC55&gt;=Reference!$H$2, Reference!$G$2, IF(AC55&gt;=Reference!$H$3, Reference!$G$3, IF(AC55&gt;=Reference!$H$4, Reference!$G$4, IF(AC55&gt;=Reference!$H$5, Reference!$G$5, ""))))</f>
        <v/>
      </c>
      <c r="Q55" s="22" t="str">
        <f aca="false">IF(F55="Physical", "Very Low", IF(F55="Local", "Low", IF(F55="Adjacent", "Medium", IF(F55="Network", "High", ""))))</f>
        <v/>
      </c>
      <c r="R55" s="22" t="str">
        <f aca="false">IF(AE55&gt;=Reference!$D$2, Reference!$G$2, IF(AE55&gt;=Reference!$D$3, Reference!$E$3, IF(AE55&gt;=Reference!$D$4, Reference!$E$4, IF(AE55&gt;=Reference!$D$5, Reference!$E$5, ""))))</f>
        <v>Low</v>
      </c>
      <c r="S55" s="27"/>
      <c r="T55" s="28"/>
      <c r="U55" s="15"/>
      <c r="V55" s="15"/>
      <c r="W55" s="15"/>
      <c r="Y55" s="16" t="n">
        <f aca="false">IF(H55=Reference!$A$12, Reference!$C$12, IF(H55=Reference!$A$11, Reference!$C$11, IF(H55=Reference!$A$10, Reference!$C$10, IF(H55=Reference!$A$9, Reference!$C$9, 0))))</f>
        <v>0</v>
      </c>
      <c r="Z55" s="16" t="n">
        <f aca="false">IF(J55=Reference!$A$20, Reference!$C$20, IF(J55=Reference!$A$19, Reference!$C$19, IF(J55=Reference!$A$18, Reference!$C$18, IF(J55=Reference!$A$17, Reference!$C$17, 0))))</f>
        <v>0</v>
      </c>
      <c r="AA55" s="16" t="n">
        <f aca="false">IF(L55=Reference!$A$28, Reference!$C$28, IF(L55=Reference!$A$27, Reference!$C$27, IF(L55=Reference!$A$26, Reference!$C$26, IF(L55=Reference!$A$25, Reference!$C$25, 0))))</f>
        <v>0</v>
      </c>
      <c r="AB55" s="16" t="n">
        <f aca="false">IF(N55=Reference!$A$36, Reference!$C$36, IF(N55=Reference!$A$35, Reference!$C$35, IF(N55=Reference!$A$34, Reference!$C$34, IF(N55=Reference!$A$33, Reference!$C$33, 0))))</f>
        <v>0</v>
      </c>
      <c r="AC55" s="16" t="n">
        <f aca="false">(Reference!$B$2*Y55 + Reference!$B$3*AA55 + Reference!$B$4*Z55 + Reference!$B$5 * AB55)/4</f>
        <v>0</v>
      </c>
      <c r="AD55" s="16" t="n">
        <f aca="false">IF(Q55=Reference!$C$41, Reference!$D$41, IF(Q55=Reference!$C$42, Reference!$D$42, IF(Q55=Reference!$C$43, Reference!$D$43, IF(Q55=Reference!$C$44, Reference!$D$44, 0))))</f>
        <v>0</v>
      </c>
      <c r="AE55" s="16" t="n">
        <f aca="false">1 + (AC55 * AD55)</f>
        <v>1</v>
      </c>
    </row>
    <row r="56" customFormat="false" ht="12.75" hidden="false" customHeight="true" outlineLevel="0" collapsed="false">
      <c r="A56" s="24"/>
      <c r="B56" s="15"/>
      <c r="C56" s="15"/>
      <c r="D56" s="11"/>
      <c r="E56" s="25"/>
      <c r="F56" s="15"/>
      <c r="G56" s="15"/>
      <c r="H56" s="15"/>
      <c r="I56" s="15"/>
      <c r="J56" s="15"/>
      <c r="K56" s="15"/>
      <c r="L56" s="15"/>
      <c r="M56" s="15"/>
      <c r="N56" s="15"/>
      <c r="O56" s="15"/>
      <c r="P56" s="22" t="str">
        <f aca="false">IF(AC56&gt;=Reference!$H$2, Reference!$G$2, IF(AC56&gt;=Reference!$H$3, Reference!$G$3, IF(AC56&gt;=Reference!$H$4, Reference!$G$4, IF(AC56&gt;=Reference!$H$5, Reference!$G$5, ""))))</f>
        <v/>
      </c>
      <c r="Q56" s="22" t="str">
        <f aca="false">IF(F56="Physical", "Very Low", IF(F56="Local", "Low", IF(F56="Adjacent", "Medium", IF(F56="Network", "High", ""))))</f>
        <v/>
      </c>
      <c r="R56" s="22" t="str">
        <f aca="false">IF(AE56&gt;=Reference!$D$2, Reference!$G$2, IF(AE56&gt;=Reference!$D$3, Reference!$E$3, IF(AE56&gt;=Reference!$D$4, Reference!$E$4, IF(AE56&gt;=Reference!$D$5, Reference!$E$5, ""))))</f>
        <v>Low</v>
      </c>
      <c r="S56" s="27"/>
      <c r="T56" s="28"/>
      <c r="U56" s="15"/>
      <c r="V56" s="15"/>
      <c r="W56" s="15"/>
      <c r="Y56" s="16" t="n">
        <f aca="false">IF(H56=Reference!$A$12, Reference!$C$12, IF(H56=Reference!$A$11, Reference!$C$11, IF(H56=Reference!$A$10, Reference!$C$10, IF(H56=Reference!$A$9, Reference!$C$9, 0))))</f>
        <v>0</v>
      </c>
      <c r="Z56" s="16" t="n">
        <f aca="false">IF(J56=Reference!$A$20, Reference!$C$20, IF(J56=Reference!$A$19, Reference!$C$19, IF(J56=Reference!$A$18, Reference!$C$18, IF(J56=Reference!$A$17, Reference!$C$17, 0))))</f>
        <v>0</v>
      </c>
      <c r="AA56" s="16" t="n">
        <f aca="false">IF(L56=Reference!$A$28, Reference!$C$28, IF(L56=Reference!$A$27, Reference!$C$27, IF(L56=Reference!$A$26, Reference!$C$26, IF(L56=Reference!$A$25, Reference!$C$25, 0))))</f>
        <v>0</v>
      </c>
      <c r="AB56" s="16" t="n">
        <f aca="false">IF(N56=Reference!$A$36, Reference!$C$36, IF(N56=Reference!$A$35, Reference!$C$35, IF(N56=Reference!$A$34, Reference!$C$34, IF(N56=Reference!$A$33, Reference!$C$33, 0))))</f>
        <v>0</v>
      </c>
      <c r="AC56" s="16" t="n">
        <f aca="false">(Reference!$B$2*Y56 + Reference!$B$3*AA56 + Reference!$B$4*Z56 + Reference!$B$5 * AB56)/4</f>
        <v>0</v>
      </c>
      <c r="AD56" s="16" t="n">
        <f aca="false">IF(Q56=Reference!$C$41, Reference!$D$41, IF(Q56=Reference!$C$42, Reference!$D$42, IF(Q56=Reference!$C$43, Reference!$D$43, IF(Q56=Reference!$C$44, Reference!$D$44, 0))))</f>
        <v>0</v>
      </c>
      <c r="AE56" s="16" t="n">
        <f aca="false">1 + (AC56 * AD56)</f>
        <v>1</v>
      </c>
    </row>
    <row r="57" customFormat="false" ht="12.75" hidden="false" customHeight="true" outlineLevel="0" collapsed="false">
      <c r="A57" s="24"/>
      <c r="B57" s="15"/>
      <c r="C57" s="15"/>
      <c r="D57" s="25"/>
      <c r="E57" s="25"/>
      <c r="F57" s="15"/>
      <c r="G57" s="15"/>
      <c r="H57" s="15"/>
      <c r="I57" s="15"/>
      <c r="J57" s="15"/>
      <c r="K57" s="15"/>
      <c r="L57" s="15"/>
      <c r="M57" s="15"/>
      <c r="N57" s="15"/>
      <c r="O57" s="15"/>
      <c r="P57" s="22" t="str">
        <f aca="false">IF(AC57&gt;=Reference!$H$2, Reference!$G$2, IF(AC57&gt;=Reference!$H$3, Reference!$G$3, IF(AC57&gt;=Reference!$H$4, Reference!$G$4, IF(AC57&gt;=Reference!$H$5, Reference!$G$5, ""))))</f>
        <v/>
      </c>
      <c r="Q57" s="22" t="str">
        <f aca="false">IF(F57="Physical", "Very Low", IF(F57="Local", "Low", IF(F57="Adjacent", "Medium", IF(F57="Network", "High", ""))))</f>
        <v/>
      </c>
      <c r="R57" s="22" t="str">
        <f aca="false">IF(AE57&gt;=Reference!$D$2, Reference!$G$2, IF(AE57&gt;=Reference!$D$3, Reference!$E$3, IF(AE57&gt;=Reference!$D$4, Reference!$E$4, IF(AE57&gt;=Reference!$D$5, Reference!$E$5, ""))))</f>
        <v>Low</v>
      </c>
      <c r="S57" s="27"/>
      <c r="T57" s="28"/>
      <c r="U57" s="15"/>
      <c r="V57" s="15"/>
      <c r="W57" s="15"/>
      <c r="Y57" s="16" t="n">
        <f aca="false">IF(H57=Reference!$A$12, Reference!$C$12, IF(H57=Reference!$A$11, Reference!$C$11, IF(H57=Reference!$A$10, Reference!$C$10, IF(H57=Reference!$A$9, Reference!$C$9, 0))))</f>
        <v>0</v>
      </c>
      <c r="Z57" s="16" t="n">
        <f aca="false">IF(J57=Reference!$A$20, Reference!$C$20, IF(J57=Reference!$A$19, Reference!$C$19, IF(J57=Reference!$A$18, Reference!$C$18, IF(J57=Reference!$A$17, Reference!$C$17, 0))))</f>
        <v>0</v>
      </c>
      <c r="AA57" s="16" t="n">
        <f aca="false">IF(L57=Reference!$A$28, Reference!$C$28, IF(L57=Reference!$A$27, Reference!$C$27, IF(L57=Reference!$A$26, Reference!$C$26, IF(L57=Reference!$A$25, Reference!$C$25, 0))))</f>
        <v>0</v>
      </c>
      <c r="AB57" s="16" t="n">
        <f aca="false">IF(N57=Reference!$A$36, Reference!$C$36, IF(N57=Reference!$A$35, Reference!$C$35, IF(N57=Reference!$A$34, Reference!$C$34, IF(N57=Reference!$A$33, Reference!$C$33, 0))))</f>
        <v>0</v>
      </c>
      <c r="AC57" s="16" t="n">
        <f aca="false">(Reference!$B$2*Y57 + Reference!$B$3*AA57 + Reference!$B$4*Z57 + Reference!$B$5 * AB57)/4</f>
        <v>0</v>
      </c>
      <c r="AD57" s="16" t="n">
        <f aca="false">IF(Q57=Reference!$C$41, Reference!$D$41, IF(Q57=Reference!$C$42, Reference!$D$42, IF(Q57=Reference!$C$43, Reference!$D$43, IF(Q57=Reference!$C$44, Reference!$D$44, 0))))</f>
        <v>0</v>
      </c>
      <c r="AE57" s="16" t="n">
        <f aca="false">1 + (AC57 * AD57)</f>
        <v>1</v>
      </c>
    </row>
    <row r="58" customFormat="false" ht="12.75" hidden="false" customHeight="true" outlineLevel="0" collapsed="false">
      <c r="A58" s="24"/>
      <c r="B58" s="15"/>
      <c r="C58" s="15"/>
      <c r="D58" s="25"/>
      <c r="E58" s="25"/>
      <c r="F58" s="15"/>
      <c r="G58" s="15"/>
      <c r="H58" s="15"/>
      <c r="I58" s="15"/>
      <c r="J58" s="15"/>
      <c r="K58" s="15"/>
      <c r="L58" s="15"/>
      <c r="M58" s="15"/>
      <c r="N58" s="15"/>
      <c r="O58" s="15"/>
      <c r="P58" s="22" t="str">
        <f aca="false">IF(AC58&gt;=Reference!$H$2, Reference!$G$2, IF(AC58&gt;=Reference!$H$3, Reference!$G$3, IF(AC58&gt;=Reference!$H$4, Reference!$G$4, IF(AC58&gt;=Reference!$H$5, Reference!$G$5, ""))))</f>
        <v/>
      </c>
      <c r="Q58" s="22" t="str">
        <f aca="false">IF(F58="Physical", "Very Low", IF(F58="Local", "Low", IF(F58="Adjacent", "Medium", IF(F58="Network", "High", ""))))</f>
        <v/>
      </c>
      <c r="R58" s="22" t="str">
        <f aca="false">IF(AE58&gt;=Reference!$D$2, Reference!$G$2, IF(AE58&gt;=Reference!$D$3, Reference!$E$3, IF(AE58&gt;=Reference!$D$4, Reference!$E$4, IF(AE58&gt;=Reference!$D$5, Reference!$E$5, ""))))</f>
        <v>Low</v>
      </c>
      <c r="S58" s="27"/>
      <c r="T58" s="28"/>
      <c r="U58" s="15"/>
      <c r="V58" s="15"/>
      <c r="W58" s="15"/>
      <c r="Y58" s="16" t="n">
        <f aca="false">IF(H58=Reference!$A$12, Reference!$C$12, IF(H58=Reference!$A$11, Reference!$C$11, IF(H58=Reference!$A$10, Reference!$C$10, IF(H58=Reference!$A$9, Reference!$C$9, 0))))</f>
        <v>0</v>
      </c>
      <c r="Z58" s="16" t="n">
        <f aca="false">IF(J58=Reference!$A$20, Reference!$C$20, IF(J58=Reference!$A$19, Reference!$C$19, IF(J58=Reference!$A$18, Reference!$C$18, IF(J58=Reference!$A$17, Reference!$C$17, 0))))</f>
        <v>0</v>
      </c>
      <c r="AA58" s="16" t="n">
        <f aca="false">IF(L58=Reference!$A$28, Reference!$C$28, IF(L58=Reference!$A$27, Reference!$C$27, IF(L58=Reference!$A$26, Reference!$C$26, IF(L58=Reference!$A$25, Reference!$C$25, 0))))</f>
        <v>0</v>
      </c>
      <c r="AB58" s="16" t="n">
        <f aca="false">IF(N58=Reference!$A$36, Reference!$C$36, IF(N58=Reference!$A$35, Reference!$C$35, IF(N58=Reference!$A$34, Reference!$C$34, IF(N58=Reference!$A$33, Reference!$C$33, 0))))</f>
        <v>0</v>
      </c>
      <c r="AC58" s="16" t="n">
        <f aca="false">(Reference!$B$2*Y58 + Reference!$B$3*AA58 + Reference!$B$4*Z58 + Reference!$B$5 * AB58)/4</f>
        <v>0</v>
      </c>
      <c r="AD58" s="16" t="n">
        <f aca="false">IF(Q58=Reference!$C$41, Reference!$D$41, IF(Q58=Reference!$C$42, Reference!$D$42, IF(Q58=Reference!$C$43, Reference!$D$43, IF(Q58=Reference!$C$44, Reference!$D$44, 0))))</f>
        <v>0</v>
      </c>
      <c r="AE58" s="16" t="n">
        <f aca="false">1 + (AC58 * AD58)</f>
        <v>1</v>
      </c>
    </row>
    <row r="59" customFormat="false" ht="12.75" hidden="false" customHeight="true" outlineLevel="0" collapsed="false">
      <c r="A59" s="24"/>
      <c r="B59" s="15"/>
      <c r="C59" s="15"/>
      <c r="D59" s="25"/>
      <c r="E59" s="25"/>
      <c r="F59" s="15"/>
      <c r="G59" s="15"/>
      <c r="H59" s="15"/>
      <c r="I59" s="15"/>
      <c r="J59" s="15"/>
      <c r="K59" s="15"/>
      <c r="L59" s="15"/>
      <c r="M59" s="15"/>
      <c r="N59" s="15"/>
      <c r="O59" s="15"/>
      <c r="P59" s="22" t="str">
        <f aca="false">IF(AC59&gt;=Reference!$H$2, Reference!$G$2, IF(AC59&gt;=Reference!$H$3, Reference!$G$3, IF(AC59&gt;=Reference!$H$4, Reference!$G$4, IF(AC59&gt;=Reference!$H$5, Reference!$G$5, ""))))</f>
        <v/>
      </c>
      <c r="Q59" s="22" t="str">
        <f aca="false">IF(F59="Physical", "Very Low", IF(F59="Local", "Low", IF(F59="Adjacent", "Medium", IF(F59="Network", "High", ""))))</f>
        <v/>
      </c>
      <c r="R59" s="22" t="str">
        <f aca="false">IF(AE59&gt;=Reference!$D$2, Reference!$G$2, IF(AE59&gt;=Reference!$D$3, Reference!$E$3, IF(AE59&gt;=Reference!$D$4, Reference!$E$4, IF(AE59&gt;=Reference!$D$5, Reference!$E$5, ""))))</f>
        <v>Low</v>
      </c>
      <c r="S59" s="27"/>
      <c r="T59" s="15"/>
      <c r="U59" s="15"/>
      <c r="V59" s="15"/>
      <c r="W59" s="15"/>
      <c r="Y59" s="16" t="n">
        <f aca="false">IF(H59=Reference!$A$12, Reference!$C$12, IF(H59=Reference!$A$11, Reference!$C$11, IF(H59=Reference!$A$10, Reference!$C$10, IF(H59=Reference!$A$9, Reference!$C$9, 0))))</f>
        <v>0</v>
      </c>
      <c r="Z59" s="16" t="n">
        <f aca="false">IF(J59=Reference!$A$20, Reference!$C$20, IF(J59=Reference!$A$19, Reference!$C$19, IF(J59=Reference!$A$18, Reference!$C$18, IF(J59=Reference!$A$17, Reference!$C$17, 0))))</f>
        <v>0</v>
      </c>
      <c r="AA59" s="16" t="n">
        <f aca="false">IF(L59=Reference!$A$28, Reference!$C$28, IF(L59=Reference!$A$27, Reference!$C$27, IF(L59=Reference!$A$26, Reference!$C$26, IF(L59=Reference!$A$25, Reference!$C$25, 0))))</f>
        <v>0</v>
      </c>
      <c r="AB59" s="16" t="n">
        <f aca="false">IF(N59=Reference!$A$36, Reference!$C$36, IF(N59=Reference!$A$35, Reference!$C$35, IF(N59=Reference!$A$34, Reference!$C$34, IF(N59=Reference!$A$33, Reference!$C$33, 0))))</f>
        <v>0</v>
      </c>
      <c r="AC59" s="16" t="n">
        <f aca="false">(Reference!$B$2*Y59 + Reference!$B$3*AA59 + Reference!$B$4*Z59 + Reference!$B$5 * AB59)/4</f>
        <v>0</v>
      </c>
      <c r="AD59" s="16" t="n">
        <f aca="false">IF(Q59=Reference!$C$41, Reference!$D$41, IF(Q59=Reference!$C$42, Reference!$D$42, IF(Q59=Reference!$C$43, Reference!$D$43, IF(Q59=Reference!$C$44, Reference!$D$44, 0))))</f>
        <v>0</v>
      </c>
      <c r="AE59" s="16" t="n">
        <f aca="false">1 + (AC59 * AD59)</f>
        <v>1</v>
      </c>
    </row>
    <row r="60" customFormat="false" ht="14.25" hidden="false" customHeight="true" outlineLevel="0" collapsed="false">
      <c r="A60" s="24"/>
      <c r="B60" s="15"/>
      <c r="C60" s="15"/>
      <c r="D60" s="25"/>
      <c r="E60" s="25"/>
      <c r="F60" s="15"/>
      <c r="G60" s="34"/>
      <c r="H60" s="15"/>
      <c r="I60" s="15"/>
      <c r="J60" s="15"/>
      <c r="K60" s="15"/>
      <c r="L60" s="15"/>
      <c r="M60" s="15"/>
      <c r="N60" s="15"/>
      <c r="O60" s="15"/>
      <c r="P60" s="22" t="str">
        <f aca="false">IF(AC60&gt;=Reference!$H$2, Reference!$G$2, IF(AC60&gt;=Reference!$H$3, Reference!$G$3, IF(AC60&gt;=Reference!$H$4, Reference!$G$4, IF(AC60&gt;=Reference!$H$5, Reference!$G$5, ""))))</f>
        <v/>
      </c>
      <c r="Q60" s="22" t="str">
        <f aca="false">IF(F60="Physical", "Very Low", IF(F60="Local", "Low", IF(F60="Adjacent", "Medium", IF(F60="Network", "High", ""))))</f>
        <v/>
      </c>
      <c r="R60" s="22" t="str">
        <f aca="false">IF(AE60&gt;=Reference!$D$2, Reference!$G$2, IF(AE60&gt;=Reference!$D$3, Reference!$E$3, IF(AE60&gt;=Reference!$D$4, Reference!$E$4, IF(AE60&gt;=Reference!$D$5, Reference!$E$5, ""))))</f>
        <v>Low</v>
      </c>
      <c r="S60" s="27"/>
      <c r="T60" s="30"/>
      <c r="U60" s="15"/>
      <c r="V60" s="15"/>
      <c r="W60" s="15"/>
      <c r="Y60" s="16" t="n">
        <f aca="false">IF(H60=Reference!$A$12, Reference!$C$12, IF(H60=Reference!$A$11, Reference!$C$11, IF(H60=Reference!$A$10, Reference!$C$10, IF(H60=Reference!$A$9, Reference!$C$9, 0))))</f>
        <v>0</v>
      </c>
      <c r="Z60" s="16" t="n">
        <f aca="false">IF(J60=Reference!$A$20, Reference!$C$20, IF(J60=Reference!$A$19, Reference!$C$19, IF(J60=Reference!$A$18, Reference!$C$18, IF(J60=Reference!$A$17, Reference!$C$17, 0))))</f>
        <v>0</v>
      </c>
      <c r="AA60" s="16" t="n">
        <f aca="false">IF(L60=Reference!$A$28, Reference!$C$28, IF(L60=Reference!$A$27, Reference!$C$27, IF(L60=Reference!$A$26, Reference!$C$26, IF(L60=Reference!$A$25, Reference!$C$25, 0))))</f>
        <v>0</v>
      </c>
      <c r="AB60" s="16" t="n">
        <f aca="false">IF(N60=Reference!$A$36, Reference!$C$36, IF(N60=Reference!$A$35, Reference!$C$35, IF(N60=Reference!$A$34, Reference!$C$34, IF(N60=Reference!$A$33, Reference!$C$33, 0))))</f>
        <v>0</v>
      </c>
      <c r="AC60" s="16" t="n">
        <f aca="false">(Reference!$B$2*Y60 + Reference!$B$3*AA60 + Reference!$B$4*Z60 + Reference!$B$5 * AB60)/4</f>
        <v>0</v>
      </c>
      <c r="AD60" s="16" t="n">
        <f aca="false">IF(Q60=Reference!$C$41, Reference!$D$41, IF(Q60=Reference!$C$42, Reference!$D$42, IF(Q60=Reference!$C$43, Reference!$D$43, IF(Q60=Reference!$C$44, Reference!$D$44, 0))))</f>
        <v>0</v>
      </c>
      <c r="AE60" s="16" t="n">
        <f aca="false">1 + (AC60 * AD60)</f>
        <v>1</v>
      </c>
    </row>
    <row r="61" customFormat="false" ht="12.75" hidden="false" customHeight="true" outlineLevel="0" collapsed="false">
      <c r="A61" s="24"/>
      <c r="B61" s="15"/>
      <c r="C61" s="15"/>
      <c r="D61" s="25"/>
      <c r="E61" s="25"/>
      <c r="F61" s="15"/>
      <c r="G61" s="15"/>
      <c r="H61" s="15"/>
      <c r="I61" s="26"/>
      <c r="J61" s="15"/>
      <c r="K61" s="15"/>
      <c r="L61" s="15"/>
      <c r="M61" s="15"/>
      <c r="N61" s="15"/>
      <c r="O61" s="26"/>
      <c r="P61" s="22" t="str">
        <f aca="false">IF(AC61&gt;=Reference!$H$2, Reference!$G$2, IF(AC61&gt;=Reference!$H$3, Reference!$G$3, IF(AC61&gt;=Reference!$H$4, Reference!$G$4, IF(AC61&gt;=Reference!$H$5, Reference!$G$5, ""))))</f>
        <v/>
      </c>
      <c r="Q61" s="22" t="str">
        <f aca="false">IF(F61="Physical", "Very Low", IF(F61="Local", "Low", IF(F61="Adjacent", "Medium", IF(F61="Network", "High", ""))))</f>
        <v/>
      </c>
      <c r="R61" s="22" t="str">
        <f aca="false">IF(AE61&gt;=Reference!$D$2, Reference!$G$2, IF(AE61&gt;=Reference!$D$3, Reference!$E$3, IF(AE61&gt;=Reference!$D$4, Reference!$E$4, IF(AE61&gt;=Reference!$D$5, Reference!$E$5, ""))))</f>
        <v>Low</v>
      </c>
      <c r="S61" s="27"/>
      <c r="T61" s="28"/>
      <c r="U61" s="15"/>
      <c r="V61" s="15"/>
      <c r="W61" s="15"/>
      <c r="Y61" s="16" t="n">
        <f aca="false">IF(H61=Reference!$A$12, Reference!$C$12, IF(H61=Reference!$A$11, Reference!$C$11, IF(H61=Reference!$A$10, Reference!$C$10, IF(H61=Reference!$A$9, Reference!$C$9, 0))))</f>
        <v>0</v>
      </c>
      <c r="Z61" s="16" t="n">
        <f aca="false">IF(J61=Reference!$A$20, Reference!$C$20, IF(J61=Reference!$A$19, Reference!$C$19, IF(J61=Reference!$A$18, Reference!$C$18, IF(J61=Reference!$A$17, Reference!$C$17, 0))))</f>
        <v>0</v>
      </c>
      <c r="AA61" s="16" t="n">
        <f aca="false">IF(L61=Reference!$A$28, Reference!$C$28, IF(L61=Reference!$A$27, Reference!$C$27, IF(L61=Reference!$A$26, Reference!$C$26, IF(L61=Reference!$A$25, Reference!$C$25, 0))))</f>
        <v>0</v>
      </c>
      <c r="AB61" s="16" t="n">
        <f aca="false">IF(N61=Reference!$A$36, Reference!$C$36, IF(N61=Reference!$A$35, Reference!$C$35, IF(N61=Reference!$A$34, Reference!$C$34, IF(N61=Reference!$A$33, Reference!$C$33, 0))))</f>
        <v>0</v>
      </c>
      <c r="AC61" s="16" t="n">
        <f aca="false">(Reference!$B$2*Y61 + Reference!$B$3*AA61 + Reference!$B$4*Z61 + Reference!$B$5 * AB61)/4</f>
        <v>0</v>
      </c>
      <c r="AD61" s="16" t="n">
        <f aca="false">IF(Q61=Reference!$C$41, Reference!$D$41, IF(Q61=Reference!$C$42, Reference!$D$42, IF(Q61=Reference!$C$43, Reference!$D$43, IF(Q61=Reference!$C$44, Reference!$D$44, 0))))</f>
        <v>0</v>
      </c>
      <c r="AE61" s="16" t="n">
        <f aca="false">1 + (AC61 * AD61)</f>
        <v>1</v>
      </c>
    </row>
    <row r="62" customFormat="false" ht="12.75" hidden="false" customHeight="true" outlineLevel="0" collapsed="false">
      <c r="A62" s="24"/>
      <c r="B62" s="15"/>
      <c r="C62" s="15"/>
      <c r="D62" s="25"/>
      <c r="E62" s="25"/>
      <c r="F62" s="15"/>
      <c r="G62" s="15"/>
      <c r="H62" s="15"/>
      <c r="I62" s="15"/>
      <c r="J62" s="15"/>
      <c r="K62" s="15"/>
      <c r="L62" s="15"/>
      <c r="M62" s="15"/>
      <c r="N62" s="15"/>
      <c r="O62" s="15"/>
      <c r="P62" s="22" t="str">
        <f aca="false">IF(AC62&gt;=Reference!$H$2, Reference!$G$2, IF(AC62&gt;=Reference!$H$3, Reference!$G$3, IF(AC62&gt;=Reference!$H$4, Reference!$G$4, IF(AC62&gt;=Reference!$H$5, Reference!$G$5, ""))))</f>
        <v/>
      </c>
      <c r="Q62" s="22" t="str">
        <f aca="false">IF(F62="Physical", "Very Low", IF(F62="Local", "Low", IF(F62="Adjacent", "Medium", IF(F62="Network", "High", ""))))</f>
        <v/>
      </c>
      <c r="R62" s="22" t="str">
        <f aca="false">IF(AE62&gt;=Reference!$D$2, Reference!$G$2, IF(AE62&gt;=Reference!$D$3, Reference!$E$3, IF(AE62&gt;=Reference!$D$4, Reference!$E$4, IF(AE62&gt;=Reference!$D$5, Reference!$E$5, ""))))</f>
        <v>Low</v>
      </c>
      <c r="S62" s="27"/>
      <c r="T62" s="28"/>
      <c r="U62" s="15"/>
      <c r="V62" s="15"/>
      <c r="W62" s="15"/>
      <c r="Y62" s="16" t="n">
        <f aca="false">IF(H62=Reference!$A$12, Reference!$C$12, IF(H62=Reference!$A$11, Reference!$C$11, IF(H62=Reference!$A$10, Reference!$C$10, IF(H62=Reference!$A$9, Reference!$C$9, 0))))</f>
        <v>0</v>
      </c>
      <c r="Z62" s="16" t="n">
        <f aca="false">IF(J62=Reference!$A$20, Reference!$C$20, IF(J62=Reference!$A$19, Reference!$C$19, IF(J62=Reference!$A$18, Reference!$C$18, IF(J62=Reference!$A$17, Reference!$C$17, 0))))</f>
        <v>0</v>
      </c>
      <c r="AA62" s="16" t="n">
        <f aca="false">IF(L62=Reference!$A$28, Reference!$C$28, IF(L62=Reference!$A$27, Reference!$C$27, IF(L62=Reference!$A$26, Reference!$C$26, IF(L62=Reference!$A$25, Reference!$C$25, 0))))</f>
        <v>0</v>
      </c>
      <c r="AB62" s="16" t="n">
        <f aca="false">IF(N62=Reference!$A$36, Reference!$C$36, IF(N62=Reference!$A$35, Reference!$C$35, IF(N62=Reference!$A$34, Reference!$C$34, IF(N62=Reference!$A$33, Reference!$C$33, 0))))</f>
        <v>0</v>
      </c>
      <c r="AC62" s="16" t="n">
        <f aca="false">(Reference!$B$2*Y62 + Reference!$B$3*AA62 + Reference!$B$4*Z62 + Reference!$B$5 * AB62)/4</f>
        <v>0</v>
      </c>
      <c r="AD62" s="16" t="n">
        <f aca="false">IF(Q62=Reference!$C$41, Reference!$D$41, IF(Q62=Reference!$C$42, Reference!$D$42, IF(Q62=Reference!$C$43, Reference!$D$43, IF(Q62=Reference!$C$44, Reference!$D$44, 0))))</f>
        <v>0</v>
      </c>
      <c r="AE62" s="16" t="n">
        <f aca="false">1 + (AC62 * AD62)</f>
        <v>1</v>
      </c>
    </row>
    <row r="63" customFormat="false" ht="12.75" hidden="false" customHeight="true" outlineLevel="0" collapsed="false">
      <c r="A63" s="24"/>
      <c r="B63" s="15"/>
      <c r="C63" s="15"/>
      <c r="D63" s="25"/>
      <c r="E63" s="31"/>
      <c r="F63" s="15"/>
      <c r="G63" s="15"/>
      <c r="H63" s="15"/>
      <c r="I63" s="15"/>
      <c r="J63" s="15"/>
      <c r="K63" s="15"/>
      <c r="L63" s="15"/>
      <c r="M63" s="15"/>
      <c r="N63" s="15"/>
      <c r="O63" s="15"/>
      <c r="P63" s="22" t="str">
        <f aca="false">IF(AC63&gt;=Reference!$H$2, Reference!$G$2, IF(AC63&gt;=Reference!$H$3, Reference!$G$3, IF(AC63&gt;=Reference!$H$4, Reference!$G$4, IF(AC63&gt;=Reference!$H$5, Reference!$G$5, ""))))</f>
        <v/>
      </c>
      <c r="Q63" s="22" t="str">
        <f aca="false">IF(F63="Physical", "Very Low", IF(F63="Local", "Low", IF(F63="Adjacent", "Medium", IF(F63="Network", "High", ""))))</f>
        <v/>
      </c>
      <c r="R63" s="22" t="str">
        <f aca="false">IF(AE63&gt;=Reference!$D$2, Reference!$G$2, IF(AE63&gt;=Reference!$D$3, Reference!$E$3, IF(AE63&gt;=Reference!$D$4, Reference!$E$4, IF(AE63&gt;=Reference!$D$5, Reference!$E$5, ""))))</f>
        <v>Low</v>
      </c>
      <c r="S63" s="27"/>
      <c r="T63" s="28"/>
      <c r="U63" s="15"/>
      <c r="V63" s="15"/>
      <c r="W63" s="15"/>
      <c r="Y63" s="16" t="n">
        <f aca="false">IF(H63=Reference!$A$12, Reference!$C$12, IF(H63=Reference!$A$11, Reference!$C$11, IF(H63=Reference!$A$10, Reference!$C$10, IF(H63=Reference!$A$9, Reference!$C$9, 0))))</f>
        <v>0</v>
      </c>
      <c r="Z63" s="16" t="n">
        <f aca="false">IF(J63=Reference!$A$20, Reference!$C$20, IF(J63=Reference!$A$19, Reference!$C$19, IF(J63=Reference!$A$18, Reference!$C$18, IF(J63=Reference!$A$17, Reference!$C$17, 0))))</f>
        <v>0</v>
      </c>
      <c r="AA63" s="16" t="n">
        <f aca="false">IF(L63=Reference!$A$28, Reference!$C$28, IF(L63=Reference!$A$27, Reference!$C$27, IF(L63=Reference!$A$26, Reference!$C$26, IF(L63=Reference!$A$25, Reference!$C$25, 0))))</f>
        <v>0</v>
      </c>
      <c r="AB63" s="16" t="n">
        <f aca="false">IF(N63=Reference!$A$36, Reference!$C$36, IF(N63=Reference!$A$35, Reference!$C$35, IF(N63=Reference!$A$34, Reference!$C$34, IF(N63=Reference!$A$33, Reference!$C$33, 0))))</f>
        <v>0</v>
      </c>
      <c r="AC63" s="16" t="n">
        <f aca="false">(Reference!$B$2*Y63 + Reference!$B$3*AA63 + Reference!$B$4*Z63 + Reference!$B$5 * AB63)/4</f>
        <v>0</v>
      </c>
      <c r="AD63" s="16" t="n">
        <f aca="false">IF(Q63=Reference!$C$41, Reference!$D$41, IF(Q63=Reference!$C$42, Reference!$D$42, IF(Q63=Reference!$C$43, Reference!$D$43, IF(Q63=Reference!$C$44, Reference!$D$44, 0))))</f>
        <v>0</v>
      </c>
      <c r="AE63" s="16" t="n">
        <f aca="false">1 + (AC63 * AD63)</f>
        <v>1</v>
      </c>
    </row>
    <row r="64" customFormat="false" ht="12.75" hidden="false" customHeight="true" outlineLevel="0" collapsed="false">
      <c r="A64" s="24"/>
      <c r="B64" s="15"/>
      <c r="C64" s="15"/>
      <c r="D64" s="25"/>
      <c r="E64" s="31"/>
      <c r="F64" s="15"/>
      <c r="G64" s="15"/>
      <c r="H64" s="15"/>
      <c r="I64" s="15"/>
      <c r="J64" s="15"/>
      <c r="K64" s="15"/>
      <c r="L64" s="15"/>
      <c r="M64" s="15"/>
      <c r="N64" s="15"/>
      <c r="O64" s="15"/>
      <c r="P64" s="22" t="str">
        <f aca="false">IF(AC64&gt;=Reference!$H$2, Reference!$G$2, IF(AC64&gt;=Reference!$H$3, Reference!$G$3, IF(AC64&gt;=Reference!$H$4, Reference!$G$4, IF(AC64&gt;=Reference!$H$5, Reference!$G$5, ""))))</f>
        <v/>
      </c>
      <c r="Q64" s="22" t="str">
        <f aca="false">IF(F64="Physical", "Very Low", IF(F64="Local", "Low", IF(F64="Adjacent", "Medium", IF(F64="Network", "High", ""))))</f>
        <v/>
      </c>
      <c r="R64" s="22" t="str">
        <f aca="false">IF(AE64&gt;=Reference!$D$2, Reference!$G$2, IF(AE64&gt;=Reference!$D$3, Reference!$E$3, IF(AE64&gt;=Reference!$D$4, Reference!$E$4, IF(AE64&gt;=Reference!$D$5, Reference!$E$5, ""))))</f>
        <v>Low</v>
      </c>
      <c r="S64" s="27"/>
      <c r="T64" s="28"/>
      <c r="U64" s="15"/>
      <c r="V64" s="15"/>
      <c r="W64" s="15"/>
      <c r="Y64" s="16" t="n">
        <f aca="false">IF(H64=Reference!$A$12, Reference!$C$12, IF(H64=Reference!$A$11, Reference!$C$11, IF(H64=Reference!$A$10, Reference!$C$10, IF(H64=Reference!$A$9, Reference!$C$9, 0))))</f>
        <v>0</v>
      </c>
      <c r="Z64" s="16" t="n">
        <f aca="false">IF(J64=Reference!$A$20, Reference!$C$20, IF(J64=Reference!$A$19, Reference!$C$19, IF(J64=Reference!$A$18, Reference!$C$18, IF(J64=Reference!$A$17, Reference!$C$17, 0))))</f>
        <v>0</v>
      </c>
      <c r="AA64" s="16" t="n">
        <f aca="false">IF(L64=Reference!$A$28, Reference!$C$28, IF(L64=Reference!$A$27, Reference!$C$27, IF(L64=Reference!$A$26, Reference!$C$26, IF(L64=Reference!$A$25, Reference!$C$25, 0))))</f>
        <v>0</v>
      </c>
      <c r="AB64" s="16" t="n">
        <f aca="false">IF(N64=Reference!$A$36, Reference!$C$36, IF(N64=Reference!$A$35, Reference!$C$35, IF(N64=Reference!$A$34, Reference!$C$34, IF(N64=Reference!$A$33, Reference!$C$33, 0))))</f>
        <v>0</v>
      </c>
      <c r="AC64" s="16" t="n">
        <f aca="false">(Reference!$B$2*Y64 + Reference!$B$3*AA64 + Reference!$B$4*Z64 + Reference!$B$5 * AB64)/4</f>
        <v>0</v>
      </c>
      <c r="AD64" s="16" t="n">
        <f aca="false">IF(Q64=Reference!$C$41, Reference!$D$41, IF(Q64=Reference!$C$42, Reference!$D$42, IF(Q64=Reference!$C$43, Reference!$D$43, IF(Q64=Reference!$C$44, Reference!$D$44, 0))))</f>
        <v>0</v>
      </c>
      <c r="AE64" s="16" t="n">
        <f aca="false">1 + (AC64 * AD64)</f>
        <v>1</v>
      </c>
    </row>
    <row r="65" customFormat="false" ht="12.75" hidden="false" customHeight="true" outlineLevel="0" collapsed="false">
      <c r="A65" s="24"/>
      <c r="B65" s="15"/>
      <c r="C65" s="15"/>
      <c r="D65" s="25"/>
      <c r="E65" s="25"/>
      <c r="F65" s="15"/>
      <c r="G65" s="15"/>
      <c r="H65" s="15"/>
      <c r="I65" s="15"/>
      <c r="J65" s="15"/>
      <c r="K65" s="15"/>
      <c r="L65" s="15"/>
      <c r="M65" s="15"/>
      <c r="N65" s="15"/>
      <c r="O65" s="15"/>
      <c r="P65" s="22" t="str">
        <f aca="false">IF(AC65&gt;=Reference!$H$2, Reference!$G$2, IF(AC65&gt;=Reference!$H$3, Reference!$G$3, IF(AC65&gt;=Reference!$H$4, Reference!$G$4, IF(AC65&gt;=Reference!$H$5, Reference!$G$5, ""))))</f>
        <v/>
      </c>
      <c r="Q65" s="22" t="str">
        <f aca="false">IF(F65="Physical", "Very Low", IF(F65="Local", "Low", IF(F65="Adjacent", "Medium", IF(F65="Network", "High", ""))))</f>
        <v/>
      </c>
      <c r="R65" s="22" t="str">
        <f aca="false">IF(AE65&gt;=Reference!$D$2, Reference!$G$2, IF(AE65&gt;=Reference!$D$3, Reference!$E$3, IF(AE65&gt;=Reference!$D$4, Reference!$E$4, IF(AE65&gt;=Reference!$D$5, Reference!$E$5, ""))))</f>
        <v>Low</v>
      </c>
      <c r="S65" s="27"/>
      <c r="T65" s="15"/>
      <c r="U65" s="15"/>
      <c r="V65" s="15"/>
      <c r="W65" s="15"/>
      <c r="Y65" s="16" t="n">
        <f aca="false">IF(H65=Reference!$A$12, Reference!$C$12, IF(H65=Reference!$A$11, Reference!$C$11, IF(H65=Reference!$A$10, Reference!$C$10, IF(H65=Reference!$A$9, Reference!$C$9, 0))))</f>
        <v>0</v>
      </c>
      <c r="Z65" s="16" t="n">
        <f aca="false">IF(J65=Reference!$A$20, Reference!$C$20, IF(J65=Reference!$A$19, Reference!$C$19, IF(J65=Reference!$A$18, Reference!$C$18, IF(J65=Reference!$A$17, Reference!$C$17, 0))))</f>
        <v>0</v>
      </c>
      <c r="AA65" s="16" t="n">
        <f aca="false">IF(L65=Reference!$A$28, Reference!$C$28, IF(L65=Reference!$A$27, Reference!$C$27, IF(L65=Reference!$A$26, Reference!$C$26, IF(L65=Reference!$A$25, Reference!$C$25, 0))))</f>
        <v>0</v>
      </c>
      <c r="AB65" s="16" t="n">
        <f aca="false">IF(N65=Reference!$A$36, Reference!$C$36, IF(N65=Reference!$A$35, Reference!$C$35, IF(N65=Reference!$A$34, Reference!$C$34, IF(N65=Reference!$A$33, Reference!$C$33, 0))))</f>
        <v>0</v>
      </c>
      <c r="AC65" s="16" t="n">
        <f aca="false">(Reference!$B$2*Y65 + Reference!$B$3*AA65 + Reference!$B$4*Z65 + Reference!$B$5 * AB65)/4</f>
        <v>0</v>
      </c>
      <c r="AD65" s="16" t="n">
        <f aca="false">IF(Q65=Reference!$C$41, Reference!$D$41, IF(Q65=Reference!$C$42, Reference!$D$42, IF(Q65=Reference!$C$43, Reference!$D$43, IF(Q65=Reference!$C$44, Reference!$D$44, 0))))</f>
        <v>0</v>
      </c>
      <c r="AE65" s="16" t="n">
        <f aca="false">1 + (AC65 * AD65)</f>
        <v>1</v>
      </c>
    </row>
    <row r="66" customFormat="false" ht="12.75" hidden="false" customHeight="true" outlineLevel="0" collapsed="false">
      <c r="A66" s="24"/>
      <c r="B66" s="15"/>
      <c r="C66" s="15"/>
      <c r="D66" s="25"/>
      <c r="E66" s="25"/>
      <c r="F66" s="15"/>
      <c r="G66" s="15"/>
      <c r="H66" s="15"/>
      <c r="I66" s="15"/>
      <c r="J66" s="15"/>
      <c r="K66" s="15"/>
      <c r="L66" s="15"/>
      <c r="M66" s="15"/>
      <c r="N66" s="15"/>
      <c r="O66" s="15"/>
      <c r="P66" s="22" t="str">
        <f aca="false">IF(AC66&gt;=Reference!$H$2, Reference!$G$2, IF(AC66&gt;=Reference!$H$3, Reference!$G$3, IF(AC66&gt;=Reference!$H$4, Reference!$G$4, IF(AC66&gt;=Reference!$H$5, Reference!$G$5, ""))))</f>
        <v/>
      </c>
      <c r="Q66" s="22" t="str">
        <f aca="false">IF(F66="Physical", "Very Low", IF(F66="Local", "Low", IF(F66="Adjacent", "Medium", IF(F66="Network", "High", ""))))</f>
        <v/>
      </c>
      <c r="R66" s="22" t="str">
        <f aca="false">IF(AE66&gt;=Reference!$D$2, Reference!$G$2, IF(AE66&gt;=Reference!$D$3, Reference!$E$3, IF(AE66&gt;=Reference!$D$4, Reference!$E$4, IF(AE66&gt;=Reference!$D$5, Reference!$E$5, ""))))</f>
        <v>Low</v>
      </c>
      <c r="S66" s="27"/>
      <c r="T66" s="26"/>
      <c r="U66" s="15"/>
      <c r="V66" s="15"/>
      <c r="W66" s="15"/>
      <c r="Y66" s="16" t="n">
        <f aca="false">IF(H66=Reference!$A$12, Reference!$C$12, IF(H66=Reference!$A$11, Reference!$C$11, IF(H66=Reference!$A$10, Reference!$C$10, IF(H66=Reference!$A$9, Reference!$C$9, 0))))</f>
        <v>0</v>
      </c>
      <c r="Z66" s="16" t="n">
        <f aca="false">IF(J66=Reference!$A$20, Reference!$C$20, IF(J66=Reference!$A$19, Reference!$C$19, IF(J66=Reference!$A$18, Reference!$C$18, IF(J66=Reference!$A$17, Reference!$C$17, 0))))</f>
        <v>0</v>
      </c>
      <c r="AA66" s="16" t="n">
        <f aca="false">IF(L66=Reference!$A$28, Reference!$C$28, IF(L66=Reference!$A$27, Reference!$C$27, IF(L66=Reference!$A$26, Reference!$C$26, IF(L66=Reference!$A$25, Reference!$C$25, 0))))</f>
        <v>0</v>
      </c>
      <c r="AB66" s="16" t="n">
        <f aca="false">IF(N66=Reference!$A$36, Reference!$C$36, IF(N66=Reference!$A$35, Reference!$C$35, IF(N66=Reference!$A$34, Reference!$C$34, IF(N66=Reference!$A$33, Reference!$C$33, 0))))</f>
        <v>0</v>
      </c>
      <c r="AC66" s="16" t="n">
        <f aca="false">(Reference!$B$2*Y66 + Reference!$B$3*AA66 + Reference!$B$4*Z66 + Reference!$B$5 * AB66)/4</f>
        <v>0</v>
      </c>
      <c r="AD66" s="16" t="n">
        <f aca="false">IF(Q66=Reference!$C$41, Reference!$D$41, IF(Q66=Reference!$C$42, Reference!$D$42, IF(Q66=Reference!$C$43, Reference!$D$43, IF(Q66=Reference!$C$44, Reference!$D$44, 0))))</f>
        <v>0</v>
      </c>
      <c r="AE66" s="16" t="n">
        <f aca="false">1 + (AC66 * AD66)</f>
        <v>1</v>
      </c>
    </row>
    <row r="67" customFormat="false" ht="12.75" hidden="false" customHeight="true" outlineLevel="0" collapsed="false">
      <c r="A67" s="24"/>
      <c r="B67" s="15"/>
      <c r="C67" s="15"/>
      <c r="D67" s="25"/>
      <c r="E67" s="25"/>
      <c r="F67" s="15"/>
      <c r="G67" s="15"/>
      <c r="H67" s="15"/>
      <c r="I67" s="15"/>
      <c r="J67" s="15"/>
      <c r="K67" s="15"/>
      <c r="L67" s="15"/>
      <c r="M67" s="15"/>
      <c r="N67" s="15"/>
      <c r="O67" s="15"/>
      <c r="P67" s="22" t="str">
        <f aca="false">IF(AC67&gt;=Reference!$H$2, Reference!$G$2, IF(AC67&gt;=Reference!$H$3, Reference!$G$3, IF(AC67&gt;=Reference!$H$4, Reference!$G$4, IF(AC67&gt;=Reference!$H$5, Reference!$G$5, ""))))</f>
        <v/>
      </c>
      <c r="Q67" s="22" t="str">
        <f aca="false">IF(F67="Physical", "Very Low", IF(F67="Local", "Low", IF(F67="Adjacent", "Medium", IF(F67="Network", "High", ""))))</f>
        <v/>
      </c>
      <c r="R67" s="22" t="str">
        <f aca="false">IF(AE67&gt;=Reference!$D$2, Reference!$G$2, IF(AE67&gt;=Reference!$D$3, Reference!$E$3, IF(AE67&gt;=Reference!$D$4, Reference!$E$4, IF(AE67&gt;=Reference!$D$5, Reference!$E$5, ""))))</f>
        <v>Low</v>
      </c>
      <c r="S67" s="27"/>
      <c r="T67" s="28"/>
      <c r="U67" s="15"/>
      <c r="V67" s="15"/>
      <c r="W67" s="15"/>
      <c r="Y67" s="16" t="n">
        <f aca="false">IF(H67=Reference!$A$12, Reference!$C$12, IF(H67=Reference!$A$11, Reference!$C$11, IF(H67=Reference!$A$10, Reference!$C$10, IF(H67=Reference!$A$9, Reference!$C$9, 0))))</f>
        <v>0</v>
      </c>
      <c r="Z67" s="16" t="n">
        <f aca="false">IF(J67=Reference!$A$20, Reference!$C$20, IF(J67=Reference!$A$19, Reference!$C$19, IF(J67=Reference!$A$18, Reference!$C$18, IF(J67=Reference!$A$17, Reference!$C$17, 0))))</f>
        <v>0</v>
      </c>
      <c r="AA67" s="16" t="n">
        <f aca="false">IF(L67=Reference!$A$28, Reference!$C$28, IF(L67=Reference!$A$27, Reference!$C$27, IF(L67=Reference!$A$26, Reference!$C$26, IF(L67=Reference!$A$25, Reference!$C$25, 0))))</f>
        <v>0</v>
      </c>
      <c r="AB67" s="16" t="n">
        <f aca="false">IF(N67=Reference!$A$36, Reference!$C$36, IF(N67=Reference!$A$35, Reference!$C$35, IF(N67=Reference!$A$34, Reference!$C$34, IF(N67=Reference!$A$33, Reference!$C$33, 0))))</f>
        <v>0</v>
      </c>
      <c r="AC67" s="16" t="n">
        <f aca="false">(Reference!$B$2*Y67 + Reference!$B$3*AA67 + Reference!$B$4*Z67 + Reference!$B$5 * AB67)/4</f>
        <v>0</v>
      </c>
      <c r="AD67" s="16" t="n">
        <f aca="false">IF(Q67=Reference!$C$41, Reference!$D$41, IF(Q67=Reference!$C$42, Reference!$D$42, IF(Q67=Reference!$C$43, Reference!$D$43, IF(Q67=Reference!$C$44, Reference!$D$44, 0))))</f>
        <v>0</v>
      </c>
      <c r="AE67" s="16" t="n">
        <f aca="false">1 + (AC67 * AD67)</f>
        <v>1</v>
      </c>
    </row>
    <row r="68" customFormat="false" ht="12.75" hidden="false" customHeight="true" outlineLevel="0" collapsed="false">
      <c r="A68" s="24"/>
      <c r="B68" s="15"/>
      <c r="C68" s="15"/>
      <c r="D68" s="25"/>
      <c r="E68" s="25"/>
      <c r="F68" s="15"/>
      <c r="G68" s="15"/>
      <c r="H68" s="15"/>
      <c r="I68" s="15"/>
      <c r="J68" s="15"/>
      <c r="K68" s="15"/>
      <c r="L68" s="15"/>
      <c r="M68" s="15"/>
      <c r="N68" s="15"/>
      <c r="O68" s="15"/>
      <c r="P68" s="22" t="str">
        <f aca="false">IF(AC68&gt;=Reference!$H$2, Reference!$G$2, IF(AC68&gt;=Reference!$H$3, Reference!$G$3, IF(AC68&gt;=Reference!$H$4, Reference!$G$4, IF(AC68&gt;=Reference!$H$5, Reference!$G$5, ""))))</f>
        <v/>
      </c>
      <c r="Q68" s="22" t="str">
        <f aca="false">IF(F68="Physical", "Very Low", IF(F68="Local", "Low", IF(F68="Adjacent", "Medium", IF(F68="Network", "High", ""))))</f>
        <v/>
      </c>
      <c r="R68" s="22" t="str">
        <f aca="false">IF(AE68&gt;=Reference!$D$2, Reference!$G$2, IF(AE68&gt;=Reference!$D$3, Reference!$E$3, IF(AE68&gt;=Reference!$D$4, Reference!$E$4, IF(AE68&gt;=Reference!$D$5, Reference!$E$5, ""))))</f>
        <v>Low</v>
      </c>
      <c r="S68" s="27"/>
      <c r="T68" s="28"/>
      <c r="U68" s="15"/>
      <c r="V68" s="15"/>
      <c r="W68" s="15"/>
      <c r="Y68" s="16" t="n">
        <f aca="false">IF(H68=Reference!$A$12, Reference!$C$12, IF(H68=Reference!$A$11, Reference!$C$11, IF(H68=Reference!$A$10, Reference!$C$10, IF(H68=Reference!$A$9, Reference!$C$9, 0))))</f>
        <v>0</v>
      </c>
      <c r="Z68" s="16" t="n">
        <f aca="false">IF(J68=Reference!$A$20, Reference!$C$20, IF(J68=Reference!$A$19, Reference!$C$19, IF(J68=Reference!$A$18, Reference!$C$18, IF(J68=Reference!$A$17, Reference!$C$17, 0))))</f>
        <v>0</v>
      </c>
      <c r="AA68" s="16" t="n">
        <f aca="false">IF(L68=Reference!$A$28, Reference!$C$28, IF(L68=Reference!$A$27, Reference!$C$27, IF(L68=Reference!$A$26, Reference!$C$26, IF(L68=Reference!$A$25, Reference!$C$25, 0))))</f>
        <v>0</v>
      </c>
      <c r="AB68" s="16" t="n">
        <f aca="false">IF(N68=Reference!$A$36, Reference!$C$36, IF(N68=Reference!$A$35, Reference!$C$35, IF(N68=Reference!$A$34, Reference!$C$34, IF(N68=Reference!$A$33, Reference!$C$33, 0))))</f>
        <v>0</v>
      </c>
      <c r="AC68" s="16" t="n">
        <f aca="false">(Reference!$B$2*Y68 + Reference!$B$3*AA68 + Reference!$B$4*Z68 + Reference!$B$5 * AB68)/4</f>
        <v>0</v>
      </c>
      <c r="AD68" s="16" t="n">
        <f aca="false">IF(Q68=Reference!$C$41, Reference!$D$41, IF(Q68=Reference!$C$42, Reference!$D$42, IF(Q68=Reference!$C$43, Reference!$D$43, IF(Q68=Reference!$C$44, Reference!$D$44, 0))))</f>
        <v>0</v>
      </c>
      <c r="AE68" s="16" t="n">
        <f aca="false">1 + (AC68 * AD68)</f>
        <v>1</v>
      </c>
    </row>
    <row r="69" customFormat="false" ht="12.75" hidden="false" customHeight="true" outlineLevel="0" collapsed="false">
      <c r="A69" s="24"/>
      <c r="B69" s="15"/>
      <c r="C69" s="15"/>
      <c r="D69" s="25"/>
      <c r="E69" s="25"/>
      <c r="F69" s="15"/>
      <c r="G69" s="15"/>
      <c r="H69" s="15"/>
      <c r="I69" s="15"/>
      <c r="J69" s="15"/>
      <c r="K69" s="15"/>
      <c r="L69" s="15"/>
      <c r="M69" s="15"/>
      <c r="N69" s="15"/>
      <c r="O69" s="15"/>
      <c r="P69" s="22" t="str">
        <f aca="false">IF(AC69&gt;=Reference!$H$2, Reference!$G$2, IF(AC69&gt;=Reference!$H$3, Reference!$G$3, IF(AC69&gt;=Reference!$H$4, Reference!$G$4, IF(AC69&gt;=Reference!$H$5, Reference!$G$5, ""))))</f>
        <v/>
      </c>
      <c r="Q69" s="22" t="str">
        <f aca="false">IF(F69="Physical", "Very Low", IF(F69="Local", "Low", IF(F69="Adjacent", "Medium", IF(F69="Network", "High", ""))))</f>
        <v/>
      </c>
      <c r="R69" s="22" t="str">
        <f aca="false">IF(AE69&gt;=Reference!$D$2, Reference!$G$2, IF(AE69&gt;=Reference!$D$3, Reference!$E$3, IF(AE69&gt;=Reference!$D$4, Reference!$E$4, IF(AE69&gt;=Reference!$D$5, Reference!$E$5, ""))))</f>
        <v>Low</v>
      </c>
      <c r="S69" s="27"/>
      <c r="T69" s="28"/>
      <c r="U69" s="15"/>
      <c r="V69" s="15"/>
      <c r="W69" s="15"/>
      <c r="Y69" s="16" t="n">
        <f aca="false">IF(H69=Reference!$A$12, Reference!$C$12, IF(H69=Reference!$A$11, Reference!$C$11, IF(H69=Reference!$A$10, Reference!$C$10, IF(H69=Reference!$A$9, Reference!$C$9, 0))))</f>
        <v>0</v>
      </c>
      <c r="Z69" s="16" t="n">
        <f aca="false">IF(J69=Reference!$A$20, Reference!$C$20, IF(J69=Reference!$A$19, Reference!$C$19, IF(J69=Reference!$A$18, Reference!$C$18, IF(J69=Reference!$A$17, Reference!$C$17, 0))))</f>
        <v>0</v>
      </c>
      <c r="AA69" s="16" t="n">
        <f aca="false">IF(L69=Reference!$A$28, Reference!$C$28, IF(L69=Reference!$A$27, Reference!$C$27, IF(L69=Reference!$A$26, Reference!$C$26, IF(L69=Reference!$A$25, Reference!$C$25, 0))))</f>
        <v>0</v>
      </c>
      <c r="AB69" s="16" t="n">
        <f aca="false">IF(N69=Reference!$A$36, Reference!$C$36, IF(N69=Reference!$A$35, Reference!$C$35, IF(N69=Reference!$A$34, Reference!$C$34, IF(N69=Reference!$A$33, Reference!$C$33, 0))))</f>
        <v>0</v>
      </c>
      <c r="AC69" s="16" t="n">
        <f aca="false">(Reference!$B$2*Y69 + Reference!$B$3*AA69 + Reference!$B$4*Z69 + Reference!$B$5 * AB69)/4</f>
        <v>0</v>
      </c>
      <c r="AD69" s="16" t="n">
        <f aca="false">IF(Q69=Reference!$C$41, Reference!$D$41, IF(Q69=Reference!$C$42, Reference!$D$42, IF(Q69=Reference!$C$43, Reference!$D$43, IF(Q69=Reference!$C$44, Reference!$D$44, 0))))</f>
        <v>0</v>
      </c>
      <c r="AE69" s="16" t="n">
        <f aca="false">1 + (AC69 * AD69)</f>
        <v>1</v>
      </c>
    </row>
    <row r="70" customFormat="false" ht="12.75" hidden="false" customHeight="true" outlineLevel="0" collapsed="false">
      <c r="A70" s="24"/>
      <c r="B70" s="15"/>
      <c r="C70" s="15"/>
      <c r="D70" s="31"/>
      <c r="E70" s="25"/>
      <c r="F70" s="15"/>
      <c r="G70" s="15"/>
      <c r="H70" s="15"/>
      <c r="I70" s="15"/>
      <c r="J70" s="15"/>
      <c r="K70" s="26"/>
      <c r="L70" s="15"/>
      <c r="M70" s="26"/>
      <c r="N70" s="15"/>
      <c r="O70" s="26"/>
      <c r="P70" s="22" t="str">
        <f aca="false">IF(AC70&gt;=Reference!$H$2, Reference!$G$2, IF(AC70&gt;=Reference!$H$3, Reference!$G$3, IF(AC70&gt;=Reference!$H$4, Reference!$G$4, IF(AC70&gt;=Reference!$H$5, Reference!$G$5, ""))))</f>
        <v/>
      </c>
      <c r="Q70" s="22" t="str">
        <f aca="false">IF(F70="Physical", "Very Low", IF(F70="Local", "Low", IF(F70="Adjacent", "Medium", IF(F70="Network", "High", ""))))</f>
        <v/>
      </c>
      <c r="R70" s="22" t="str">
        <f aca="false">IF(AE70&gt;=Reference!$D$2, Reference!$G$2, IF(AE70&gt;=Reference!$D$3, Reference!$E$3, IF(AE70&gt;=Reference!$D$4, Reference!$E$4, IF(AE70&gt;=Reference!$D$5, Reference!$E$5, ""))))</f>
        <v>Low</v>
      </c>
      <c r="S70" s="27"/>
      <c r="T70" s="28"/>
      <c r="U70" s="15"/>
      <c r="V70" s="15"/>
      <c r="W70" s="15"/>
      <c r="Y70" s="16" t="n">
        <f aca="false">IF(H70=Reference!$A$12, Reference!$C$12, IF(H70=Reference!$A$11, Reference!$C$11, IF(H70=Reference!$A$10, Reference!$C$10, IF(H70=Reference!$A$9, Reference!$C$9, 0))))</f>
        <v>0</v>
      </c>
      <c r="Z70" s="16" t="n">
        <f aca="false">IF(J70=Reference!$A$20, Reference!$C$20, IF(J70=Reference!$A$19, Reference!$C$19, IF(J70=Reference!$A$18, Reference!$C$18, IF(J70=Reference!$A$17, Reference!$C$17, 0))))</f>
        <v>0</v>
      </c>
      <c r="AA70" s="16" t="n">
        <f aca="false">IF(L70=Reference!$A$28, Reference!$C$28, IF(L70=Reference!$A$27, Reference!$C$27, IF(L70=Reference!$A$26, Reference!$C$26, IF(L70=Reference!$A$25, Reference!$C$25, 0))))</f>
        <v>0</v>
      </c>
      <c r="AB70" s="16" t="n">
        <f aca="false">IF(N70=Reference!$A$36, Reference!$C$36, IF(N70=Reference!$A$35, Reference!$C$35, IF(N70=Reference!$A$34, Reference!$C$34, IF(N70=Reference!$A$33, Reference!$C$33, 0))))</f>
        <v>0</v>
      </c>
      <c r="AC70" s="16" t="n">
        <f aca="false">(Reference!$B$2*Y70 + Reference!$B$3*AA70 + Reference!$B$4*Z70 + Reference!$B$5 * AB70)/4</f>
        <v>0</v>
      </c>
      <c r="AD70" s="16" t="n">
        <f aca="false">IF(Q70=Reference!$C$41, Reference!$D$41, IF(Q70=Reference!$C$42, Reference!$D$42, IF(Q70=Reference!$C$43, Reference!$D$43, IF(Q70=Reference!$C$44, Reference!$D$44, 0))))</f>
        <v>0</v>
      </c>
      <c r="AE70" s="16" t="n">
        <f aca="false">1 + (AC70 * AD70)</f>
        <v>1</v>
      </c>
    </row>
    <row r="71" customFormat="false" ht="12.75" hidden="false" customHeight="true" outlineLevel="0" collapsed="false">
      <c r="A71" s="24"/>
      <c r="B71" s="15"/>
      <c r="C71" s="15"/>
      <c r="D71" s="25"/>
      <c r="E71" s="25"/>
      <c r="F71" s="15"/>
      <c r="G71" s="15"/>
      <c r="H71" s="15"/>
      <c r="I71" s="34"/>
      <c r="J71" s="15"/>
      <c r="K71" s="15"/>
      <c r="L71" s="15"/>
      <c r="M71" s="15"/>
      <c r="N71" s="15"/>
      <c r="O71" s="15"/>
      <c r="P71" s="22" t="str">
        <f aca="false">IF(AC71&gt;=Reference!$H$2, Reference!$G$2, IF(AC71&gt;=Reference!$H$3, Reference!$G$3, IF(AC71&gt;=Reference!$H$4, Reference!$G$4, IF(AC71&gt;=Reference!$H$5, Reference!$G$5, ""))))</f>
        <v/>
      </c>
      <c r="Q71" s="22" t="str">
        <f aca="false">IF(F71="Physical", "Very Low", IF(F71="Local", "Low", IF(F71="Adjacent", "Medium", IF(F71="Network", "High", ""))))</f>
        <v/>
      </c>
      <c r="R71" s="22" t="str">
        <f aca="false">IF(AE71&gt;=Reference!$D$2, Reference!$G$2, IF(AE71&gt;=Reference!$D$3, Reference!$E$3, IF(AE71&gt;=Reference!$D$4, Reference!$E$4, IF(AE71&gt;=Reference!$D$5, Reference!$E$5, ""))))</f>
        <v>Low</v>
      </c>
      <c r="S71" s="27"/>
      <c r="T71" s="28"/>
      <c r="U71" s="15"/>
      <c r="V71" s="15"/>
      <c r="W71" s="15"/>
      <c r="Y71" s="16" t="n">
        <f aca="false">IF(H71=Reference!$A$12, Reference!$C$12, IF(H71=Reference!$A$11, Reference!$C$11, IF(H71=Reference!$A$10, Reference!$C$10, IF(H71=Reference!$A$9, Reference!$C$9, 0))))</f>
        <v>0</v>
      </c>
      <c r="Z71" s="16" t="n">
        <f aca="false">IF(J71=Reference!$A$20, Reference!$C$20, IF(J71=Reference!$A$19, Reference!$C$19, IF(J71=Reference!$A$18, Reference!$C$18, IF(J71=Reference!$A$17, Reference!$C$17, 0))))</f>
        <v>0</v>
      </c>
      <c r="AA71" s="16" t="n">
        <f aca="false">IF(L71=Reference!$A$28, Reference!$C$28, IF(L71=Reference!$A$27, Reference!$C$27, IF(L71=Reference!$A$26, Reference!$C$26, IF(L71=Reference!$A$25, Reference!$C$25, 0))))</f>
        <v>0</v>
      </c>
      <c r="AB71" s="16" t="n">
        <f aca="false">IF(N71=Reference!$A$36, Reference!$C$36, IF(N71=Reference!$A$35, Reference!$C$35, IF(N71=Reference!$A$34, Reference!$C$34, IF(N71=Reference!$A$33, Reference!$C$33, 0))))</f>
        <v>0</v>
      </c>
      <c r="AC71" s="16" t="n">
        <f aca="false">(Reference!$B$2*Y71 + Reference!$B$3*AA71 + Reference!$B$4*Z71 + Reference!$B$5 * AB71)/4</f>
        <v>0</v>
      </c>
      <c r="AD71" s="16" t="n">
        <f aca="false">IF(Q71=Reference!$C$41, Reference!$D$41, IF(Q71=Reference!$C$42, Reference!$D$42, IF(Q71=Reference!$C$43, Reference!$D$43, IF(Q71=Reference!$C$44, Reference!$D$44, 0))))</f>
        <v>0</v>
      </c>
      <c r="AE71" s="16" t="n">
        <f aca="false">1 + (AC71 * AD71)</f>
        <v>1</v>
      </c>
    </row>
    <row r="72" customFormat="false" ht="12.75" hidden="false" customHeight="true" outlineLevel="0" collapsed="false">
      <c r="A72" s="24"/>
      <c r="B72" s="15"/>
      <c r="C72" s="15"/>
      <c r="D72" s="11"/>
      <c r="E72" s="25"/>
      <c r="F72" s="15"/>
      <c r="G72" s="15"/>
      <c r="H72" s="15"/>
      <c r="I72" s="15"/>
      <c r="J72" s="15"/>
      <c r="K72" s="26"/>
      <c r="L72" s="15"/>
      <c r="M72" s="15"/>
      <c r="N72" s="15"/>
      <c r="O72" s="15"/>
      <c r="P72" s="22" t="str">
        <f aca="false">IF(AC72&gt;=Reference!$H$2, Reference!$G$2, IF(AC72&gt;=Reference!$H$3, Reference!$G$3, IF(AC72&gt;=Reference!$H$4, Reference!$G$4, IF(AC72&gt;=Reference!$H$5, Reference!$G$5, ""))))</f>
        <v/>
      </c>
      <c r="Q72" s="22" t="str">
        <f aca="false">IF(F72="Physical", "Very Low", IF(F72="Local", "Low", IF(F72="Adjacent", "Medium", IF(F72="Network", "High", ""))))</f>
        <v/>
      </c>
      <c r="R72" s="22" t="str">
        <f aca="false">IF(AE72&gt;=Reference!$D$2, Reference!$G$2, IF(AE72&gt;=Reference!$D$3, Reference!$E$3, IF(AE72&gt;=Reference!$D$4, Reference!$E$4, IF(AE72&gt;=Reference!$D$5, Reference!$E$5, ""))))</f>
        <v>Low</v>
      </c>
      <c r="S72" s="27"/>
      <c r="T72" s="28"/>
      <c r="U72" s="15"/>
      <c r="V72" s="15"/>
      <c r="W72" s="15"/>
      <c r="Y72" s="16" t="n">
        <f aca="false">IF(H72=Reference!$A$12, Reference!$C$12, IF(H72=Reference!$A$11, Reference!$C$11, IF(H72=Reference!$A$10, Reference!$C$10, IF(H72=Reference!$A$9, Reference!$C$9, 0))))</f>
        <v>0</v>
      </c>
      <c r="Z72" s="16" t="n">
        <f aca="false">IF(J72=Reference!$A$20, Reference!$C$20, IF(J72=Reference!$A$19, Reference!$C$19, IF(J72=Reference!$A$18, Reference!$C$18, IF(J72=Reference!$A$17, Reference!$C$17, 0))))</f>
        <v>0</v>
      </c>
      <c r="AA72" s="16" t="n">
        <f aca="false">IF(L72=Reference!$A$28, Reference!$C$28, IF(L72=Reference!$A$27, Reference!$C$27, IF(L72=Reference!$A$26, Reference!$C$26, IF(L72=Reference!$A$25, Reference!$C$25, 0))))</f>
        <v>0</v>
      </c>
      <c r="AB72" s="16" t="n">
        <f aca="false">IF(N72=Reference!$A$36, Reference!$C$36, IF(N72=Reference!$A$35, Reference!$C$35, IF(N72=Reference!$A$34, Reference!$C$34, IF(N72=Reference!$A$33, Reference!$C$33, 0))))</f>
        <v>0</v>
      </c>
      <c r="AC72" s="16" t="n">
        <f aca="false">(Reference!$B$2*Y72 + Reference!$B$3*AA72 + Reference!$B$4*Z72 + Reference!$B$5 * AB72)/4</f>
        <v>0</v>
      </c>
      <c r="AD72" s="16" t="n">
        <f aca="false">IF(Q72=Reference!$C$41, Reference!$D$41, IF(Q72=Reference!$C$42, Reference!$D$42, IF(Q72=Reference!$C$43, Reference!$D$43, IF(Q72=Reference!$C$44, Reference!$D$44, 0))))</f>
        <v>0</v>
      </c>
      <c r="AE72" s="16" t="n">
        <f aca="false">1 + (AC72 * AD72)</f>
        <v>1</v>
      </c>
    </row>
    <row r="73" customFormat="false" ht="12.75" hidden="false" customHeight="true" outlineLevel="0" collapsed="false">
      <c r="A73" s="24"/>
      <c r="B73" s="15"/>
      <c r="C73" s="15"/>
      <c r="D73" s="25"/>
      <c r="E73" s="25"/>
      <c r="F73" s="15"/>
      <c r="H73" s="15"/>
      <c r="I73" s="15"/>
      <c r="J73" s="15"/>
      <c r="K73" s="15"/>
      <c r="L73" s="15"/>
      <c r="M73" s="15"/>
      <c r="N73" s="15"/>
      <c r="O73" s="15"/>
      <c r="P73" s="22" t="str">
        <f aca="false">IF(AC73&gt;=Reference!$H$2, Reference!$G$2, IF(AC73&gt;=Reference!$H$3, Reference!$G$3, IF(AC73&gt;=Reference!$H$4, Reference!$G$4, IF(AC73&gt;=Reference!$H$5, Reference!$G$5, ""))))</f>
        <v/>
      </c>
      <c r="Q73" s="22" t="str">
        <f aca="false">IF(F73="Physical", "Very Low", IF(F73="Local", "Low", IF(F73="Adjacent", "Medium", IF(F73="Network", "High", ""))))</f>
        <v/>
      </c>
      <c r="R73" s="22" t="str">
        <f aca="false">IF(AE73&gt;=Reference!$D$2, Reference!$G$2, IF(AE73&gt;=Reference!$D$3, Reference!$E$3, IF(AE73&gt;=Reference!$D$4, Reference!$E$4, IF(AE73&gt;=Reference!$D$5, Reference!$E$5, ""))))</f>
        <v>Low</v>
      </c>
      <c r="S73" s="27"/>
      <c r="T73" s="28"/>
      <c r="U73" s="15"/>
      <c r="V73" s="15"/>
      <c r="W73" s="15"/>
      <c r="Y73" s="16" t="n">
        <f aca="false">IF(H73=Reference!$A$12, Reference!$C$12, IF(H73=Reference!$A$11, Reference!$C$11, IF(H73=Reference!$A$10, Reference!$C$10, IF(H73=Reference!$A$9, Reference!$C$9, 0))))</f>
        <v>0</v>
      </c>
      <c r="Z73" s="16" t="n">
        <f aca="false">IF(J73=Reference!$A$20, Reference!$C$20, IF(J73=Reference!$A$19, Reference!$C$19, IF(J73=Reference!$A$18, Reference!$C$18, IF(J73=Reference!$A$17, Reference!$C$17, 0))))</f>
        <v>0</v>
      </c>
      <c r="AA73" s="16" t="n">
        <f aca="false">IF(L73=Reference!$A$28, Reference!$C$28, IF(L73=Reference!$A$27, Reference!$C$27, IF(L73=Reference!$A$26, Reference!$C$26, IF(L73=Reference!$A$25, Reference!$C$25, 0))))</f>
        <v>0</v>
      </c>
      <c r="AB73" s="16" t="n">
        <f aca="false">IF(N73=Reference!$A$36, Reference!$C$36, IF(N73=Reference!$A$35, Reference!$C$35, IF(N73=Reference!$A$34, Reference!$C$34, IF(N73=Reference!$A$33, Reference!$C$33, 0))))</f>
        <v>0</v>
      </c>
      <c r="AC73" s="16" t="n">
        <f aca="false">(Reference!$B$2*Y73 + Reference!$B$3*AA73 + Reference!$B$4*Z73 + Reference!$B$5 * AB73)/4</f>
        <v>0</v>
      </c>
      <c r="AD73" s="16" t="n">
        <f aca="false">IF(Q73=Reference!$C$41, Reference!$D$41, IF(Q73=Reference!$C$42, Reference!$D$42, IF(Q73=Reference!$C$43, Reference!$D$43, IF(Q73=Reference!$C$44, Reference!$D$44, 0))))</f>
        <v>0</v>
      </c>
      <c r="AE73" s="16" t="n">
        <f aca="false">1 + (AC73 * AD73)</f>
        <v>1</v>
      </c>
    </row>
    <row r="74" customFormat="false" ht="12.75" hidden="false" customHeight="true" outlineLevel="0" collapsed="false">
      <c r="A74" s="24"/>
      <c r="B74" s="15"/>
      <c r="C74" s="15"/>
      <c r="D74" s="25"/>
      <c r="E74" s="25"/>
      <c r="F74" s="15"/>
      <c r="G74" s="15"/>
      <c r="H74" s="15"/>
      <c r="I74" s="15"/>
      <c r="J74" s="15"/>
      <c r="K74" s="15"/>
      <c r="L74" s="15"/>
      <c r="M74" s="15"/>
      <c r="N74" s="15"/>
      <c r="O74" s="15"/>
      <c r="P74" s="22" t="str">
        <f aca="false">IF(AC74&gt;=Reference!$H$2, Reference!$G$2, IF(AC74&gt;=Reference!$H$3, Reference!$G$3, IF(AC74&gt;=Reference!$H$4, Reference!$G$4, IF(AC74&gt;=Reference!$H$5, Reference!$G$5, ""))))</f>
        <v/>
      </c>
      <c r="Q74" s="22" t="str">
        <f aca="false">IF(F74="Physical", "Very Low", IF(F74="Local", "Low", IF(F74="Adjacent", "Medium", IF(F74="Network", "High", ""))))</f>
        <v/>
      </c>
      <c r="R74" s="22" t="str">
        <f aca="false">IF(AE74&gt;=Reference!$D$2, Reference!$G$2, IF(AE74&gt;=Reference!$D$3, Reference!$E$3, IF(AE74&gt;=Reference!$D$4, Reference!$E$4, IF(AE74&gt;=Reference!$D$5, Reference!$E$5, ""))))</f>
        <v>Low</v>
      </c>
      <c r="S74" s="27"/>
      <c r="T74" s="28"/>
      <c r="U74" s="15"/>
      <c r="V74" s="15"/>
      <c r="W74" s="15"/>
      <c r="Y74" s="16" t="n">
        <f aca="false">IF(H74=Reference!$A$12, Reference!$C$12, IF(H74=Reference!$A$11, Reference!$C$11, IF(H74=Reference!$A$10, Reference!$C$10, IF(H74=Reference!$A$9, Reference!$C$9, 0))))</f>
        <v>0</v>
      </c>
      <c r="Z74" s="16" t="n">
        <f aca="false">IF(J74=Reference!$A$20, Reference!$C$20, IF(J74=Reference!$A$19, Reference!$C$19, IF(J74=Reference!$A$18, Reference!$C$18, IF(J74=Reference!$A$17, Reference!$C$17, 0))))</f>
        <v>0</v>
      </c>
      <c r="AA74" s="16" t="n">
        <f aca="false">IF(L74=Reference!$A$28, Reference!$C$28, IF(L74=Reference!$A$27, Reference!$C$27, IF(L74=Reference!$A$26, Reference!$C$26, IF(L74=Reference!$A$25, Reference!$C$25, 0))))</f>
        <v>0</v>
      </c>
      <c r="AB74" s="16" t="n">
        <f aca="false">IF(N74=Reference!$A$36, Reference!$C$36, IF(N74=Reference!$A$35, Reference!$C$35, IF(N74=Reference!$A$34, Reference!$C$34, IF(N74=Reference!$A$33, Reference!$C$33, 0))))</f>
        <v>0</v>
      </c>
      <c r="AC74" s="16" t="n">
        <f aca="false">(Reference!$B$2*Y74 + Reference!$B$3*AA74 + Reference!$B$4*Z74 + Reference!$B$5 * AB74)/4</f>
        <v>0</v>
      </c>
      <c r="AD74" s="16" t="n">
        <f aca="false">IF(Q74=Reference!$C$41, Reference!$D$41, IF(Q74=Reference!$C$42, Reference!$D$42, IF(Q74=Reference!$C$43, Reference!$D$43, IF(Q74=Reference!$C$44, Reference!$D$44, 0))))</f>
        <v>0</v>
      </c>
      <c r="AE74" s="16" t="n">
        <f aca="false">1 + (AC74 * AD74)</f>
        <v>1</v>
      </c>
    </row>
    <row r="75" customFormat="false" ht="12.75" hidden="false" customHeight="true" outlineLevel="0" collapsed="false">
      <c r="A75" s="24"/>
      <c r="B75" s="15"/>
      <c r="C75" s="15"/>
      <c r="D75" s="31"/>
      <c r="E75" s="31"/>
      <c r="F75" s="15"/>
      <c r="G75" s="15"/>
      <c r="H75" s="15"/>
      <c r="I75" s="15"/>
      <c r="J75" s="15"/>
      <c r="K75" s="26"/>
      <c r="L75" s="15"/>
      <c r="M75" s="26"/>
      <c r="N75" s="15"/>
      <c r="O75" s="26"/>
      <c r="P75" s="22" t="str">
        <f aca="false">IF(AC75&gt;=Reference!$H$2, Reference!$G$2, IF(AC75&gt;=Reference!$H$3, Reference!$G$3, IF(AC75&gt;=Reference!$H$4, Reference!$G$4, IF(AC75&gt;=Reference!$H$5, Reference!$G$5, ""))))</f>
        <v/>
      </c>
      <c r="Q75" s="22" t="str">
        <f aca="false">IF(F75="Physical", "Very Low", IF(F75="Local", "Low", IF(F75="Adjacent", "Medium", IF(F75="Network", "High", ""))))</f>
        <v/>
      </c>
      <c r="R75" s="22" t="str">
        <f aca="false">IF(AE75&gt;=Reference!$D$2, Reference!$G$2, IF(AE75&gt;=Reference!$D$3, Reference!$E$3, IF(AE75&gt;=Reference!$D$4, Reference!$E$4, IF(AE75&gt;=Reference!$D$5, Reference!$E$5, ""))))</f>
        <v>Low</v>
      </c>
      <c r="S75" s="27"/>
      <c r="T75" s="28"/>
      <c r="U75" s="15"/>
      <c r="V75" s="15"/>
      <c r="W75" s="15"/>
      <c r="Y75" s="16" t="n">
        <f aca="false">IF(H75=Reference!$A$12, Reference!$C$12, IF(H75=Reference!$A$11, Reference!$C$11, IF(H75=Reference!$A$10, Reference!$C$10, IF(H75=Reference!$A$9, Reference!$C$9, 0))))</f>
        <v>0</v>
      </c>
      <c r="Z75" s="16" t="n">
        <f aca="false">IF(J75=Reference!$A$20, Reference!$C$20, IF(J75=Reference!$A$19, Reference!$C$19, IF(J75=Reference!$A$18, Reference!$C$18, IF(J75=Reference!$A$17, Reference!$C$17, 0))))</f>
        <v>0</v>
      </c>
      <c r="AA75" s="16" t="n">
        <f aca="false">IF(L75=Reference!$A$28, Reference!$C$28, IF(L75=Reference!$A$27, Reference!$C$27, IF(L75=Reference!$A$26, Reference!$C$26, IF(L75=Reference!$A$25, Reference!$C$25, 0))))</f>
        <v>0</v>
      </c>
      <c r="AB75" s="16" t="n">
        <f aca="false">IF(N75=Reference!$A$36, Reference!$C$36, IF(N75=Reference!$A$35, Reference!$C$35, IF(N75=Reference!$A$34, Reference!$C$34, IF(N75=Reference!$A$33, Reference!$C$33, 0))))</f>
        <v>0</v>
      </c>
      <c r="AC75" s="16" t="n">
        <f aca="false">(Reference!$B$2*Y75 + Reference!$B$3*AA75 + Reference!$B$4*Z75 + Reference!$B$5 * AB75)/4</f>
        <v>0</v>
      </c>
      <c r="AD75" s="16" t="n">
        <f aca="false">IF(Q75=Reference!$C$41, Reference!$D$41, IF(Q75=Reference!$C$42, Reference!$D$42, IF(Q75=Reference!$C$43, Reference!$D$43, IF(Q75=Reference!$C$44, Reference!$D$44, 0))))</f>
        <v>0</v>
      </c>
      <c r="AE75" s="16" t="n">
        <f aca="false">1 + (AC75 * AD75)</f>
        <v>1</v>
      </c>
    </row>
    <row r="76" customFormat="false" ht="12.75" hidden="false" customHeight="true" outlineLevel="0" collapsed="false">
      <c r="A76" s="24"/>
      <c r="B76" s="15"/>
      <c r="C76" s="15"/>
      <c r="D76" s="25"/>
      <c r="E76" s="25"/>
      <c r="F76" s="15"/>
      <c r="G76" s="15"/>
      <c r="H76" s="15"/>
      <c r="I76" s="15"/>
      <c r="J76" s="15"/>
      <c r="K76" s="15"/>
      <c r="L76" s="15"/>
      <c r="M76" s="15"/>
      <c r="N76" s="15"/>
      <c r="O76" s="15"/>
      <c r="P76" s="22" t="str">
        <f aca="false">IF(AC76&gt;=Reference!$H$2, Reference!$G$2, IF(AC76&gt;=Reference!$H$3, Reference!$G$3, IF(AC76&gt;=Reference!$H$4, Reference!$G$4, IF(AC76&gt;=Reference!$H$5, Reference!$G$5, ""))))</f>
        <v/>
      </c>
      <c r="Q76" s="22" t="str">
        <f aca="false">IF(F76="Physical", "Very Low", IF(F76="Local", "Low", IF(F76="Adjacent", "Medium", IF(F76="Network", "High", ""))))</f>
        <v/>
      </c>
      <c r="R76" s="22" t="str">
        <f aca="false">IF(AE76&gt;=Reference!$D$2, Reference!$G$2, IF(AE76&gt;=Reference!$D$3, Reference!$E$3, IF(AE76&gt;=Reference!$D$4, Reference!$E$4, IF(AE76&gt;=Reference!$D$5, Reference!$E$5, ""))))</f>
        <v>Low</v>
      </c>
      <c r="S76" s="27"/>
      <c r="T76" s="28"/>
      <c r="U76" s="15"/>
      <c r="V76" s="15"/>
      <c r="W76" s="15"/>
      <c r="Y76" s="16" t="n">
        <f aca="false">IF(H76=Reference!$A$12, Reference!$C$12, IF(H76=Reference!$A$11, Reference!$C$11, IF(H76=Reference!$A$10, Reference!$C$10, IF(H76=Reference!$A$9, Reference!$C$9, 0))))</f>
        <v>0</v>
      </c>
      <c r="Z76" s="16" t="n">
        <f aca="false">IF(J76=Reference!$A$20, Reference!$C$20, IF(J76=Reference!$A$19, Reference!$C$19, IF(J76=Reference!$A$18, Reference!$C$18, IF(J76=Reference!$A$17, Reference!$C$17, 0))))</f>
        <v>0</v>
      </c>
      <c r="AA76" s="16" t="n">
        <f aca="false">IF(L76=Reference!$A$28, Reference!$C$28, IF(L76=Reference!$A$27, Reference!$C$27, IF(L76=Reference!$A$26, Reference!$C$26, IF(L76=Reference!$A$25, Reference!$C$25, 0))))</f>
        <v>0</v>
      </c>
      <c r="AB76" s="16" t="n">
        <f aca="false">IF(N76=Reference!$A$36, Reference!$C$36, IF(N76=Reference!$A$35, Reference!$C$35, IF(N76=Reference!$A$34, Reference!$C$34, IF(N76=Reference!$A$33, Reference!$C$33, 0))))</f>
        <v>0</v>
      </c>
      <c r="AC76" s="16" t="n">
        <f aca="false">(Reference!$B$2*Y76 + Reference!$B$3*AA76 + Reference!$B$4*Z76 + Reference!$B$5 * AB76)/4</f>
        <v>0</v>
      </c>
      <c r="AD76" s="16" t="n">
        <f aca="false">IF(Q76=Reference!$C$41, Reference!$D$41, IF(Q76=Reference!$C$42, Reference!$D$42, IF(Q76=Reference!$C$43, Reference!$D$43, IF(Q76=Reference!$C$44, Reference!$D$44, 0))))</f>
        <v>0</v>
      </c>
      <c r="AE76" s="16" t="n">
        <f aca="false">1 + (AC76 * AD76)</f>
        <v>1</v>
      </c>
    </row>
    <row r="77" customFormat="false" ht="12.75" hidden="false" customHeight="true" outlineLevel="0" collapsed="false">
      <c r="A77" s="24"/>
      <c r="B77" s="15"/>
      <c r="C77" s="15"/>
      <c r="D77" s="25"/>
      <c r="E77" s="25"/>
      <c r="F77" s="15"/>
      <c r="G77" s="15"/>
      <c r="H77" s="15"/>
      <c r="I77" s="35"/>
      <c r="J77" s="15"/>
      <c r="K77" s="15"/>
      <c r="L77" s="15"/>
      <c r="M77" s="15"/>
      <c r="N77" s="15"/>
      <c r="O77" s="15"/>
      <c r="P77" s="22" t="str">
        <f aca="false">IF(AC77&gt;=Reference!$H$2, Reference!$G$2, IF(AC77&gt;=Reference!$H$3, Reference!$G$3, IF(AC77&gt;=Reference!$H$4, Reference!$G$4, IF(AC77&gt;=Reference!$H$5, Reference!$G$5, ""))))</f>
        <v/>
      </c>
      <c r="Q77" s="22" t="str">
        <f aca="false">IF(F77="Physical", "Very Low", IF(F77="Local", "Low", IF(F77="Adjacent", "Medium", IF(F77="Network", "High", ""))))</f>
        <v/>
      </c>
      <c r="R77" s="22" t="str">
        <f aca="false">IF(AE77&gt;=Reference!$D$2, Reference!$G$2, IF(AE77&gt;=Reference!$D$3, Reference!$E$3, IF(AE77&gt;=Reference!$D$4, Reference!$E$4, IF(AE77&gt;=Reference!$D$5, Reference!$E$5, ""))))</f>
        <v>Low</v>
      </c>
      <c r="S77" s="27"/>
      <c r="T77" s="28"/>
      <c r="U77" s="15"/>
      <c r="V77" s="15"/>
      <c r="W77" s="15"/>
      <c r="Y77" s="16" t="n">
        <f aca="false">IF(H77=Reference!$A$12, Reference!$C$12, IF(H77=Reference!$A$11, Reference!$C$11, IF(H77=Reference!$A$10, Reference!$C$10, IF(H77=Reference!$A$9, Reference!$C$9, 0))))</f>
        <v>0</v>
      </c>
      <c r="Z77" s="16" t="n">
        <f aca="false">IF(J77=Reference!$A$20, Reference!$C$20, IF(J77=Reference!$A$19, Reference!$C$19, IF(J77=Reference!$A$18, Reference!$C$18, IF(J77=Reference!$A$17, Reference!$C$17, 0))))</f>
        <v>0</v>
      </c>
      <c r="AA77" s="16" t="n">
        <f aca="false">IF(L77=Reference!$A$28, Reference!$C$28, IF(L77=Reference!$A$27, Reference!$C$27, IF(L77=Reference!$A$26, Reference!$C$26, IF(L77=Reference!$A$25, Reference!$C$25, 0))))</f>
        <v>0</v>
      </c>
      <c r="AB77" s="16" t="n">
        <f aca="false">IF(N77=Reference!$A$36, Reference!$C$36, IF(N77=Reference!$A$35, Reference!$C$35, IF(N77=Reference!$A$34, Reference!$C$34, IF(N77=Reference!$A$33, Reference!$C$33, 0))))</f>
        <v>0</v>
      </c>
      <c r="AC77" s="16" t="n">
        <f aca="false">(Reference!$B$2*Y77 + Reference!$B$3*AA77 + Reference!$B$4*Z77 + Reference!$B$5 * AB77)/4</f>
        <v>0</v>
      </c>
      <c r="AD77" s="16" t="n">
        <f aca="false">IF(Q77=Reference!$C$41, Reference!$D$41, IF(Q77=Reference!$C$42, Reference!$D$42, IF(Q77=Reference!$C$43, Reference!$D$43, IF(Q77=Reference!$C$44, Reference!$D$44, 0))))</f>
        <v>0</v>
      </c>
      <c r="AE77" s="16" t="n">
        <f aca="false">1 + (AC77 * AD77)</f>
        <v>1</v>
      </c>
    </row>
    <row r="78" customFormat="false" ht="12.75" hidden="false" customHeight="true" outlineLevel="0" collapsed="false">
      <c r="A78" s="24"/>
      <c r="B78" s="15"/>
      <c r="C78" s="15"/>
      <c r="D78" s="25"/>
      <c r="E78" s="25"/>
      <c r="F78" s="15"/>
      <c r="H78" s="15"/>
      <c r="I78" s="15"/>
      <c r="J78" s="15"/>
      <c r="K78" s="15"/>
      <c r="L78" s="15"/>
      <c r="M78" s="15"/>
      <c r="N78" s="15"/>
      <c r="O78" s="15"/>
      <c r="P78" s="22" t="str">
        <f aca="false">IF(AC78&gt;=Reference!$H$2, Reference!$G$2, IF(AC78&gt;=Reference!$H$3, Reference!$G$3, IF(AC78&gt;=Reference!$H$4, Reference!$G$4, IF(AC78&gt;=Reference!$H$5, Reference!$G$5, ""))))</f>
        <v/>
      </c>
      <c r="Q78" s="22" t="str">
        <f aca="false">IF(F78="Physical", "Very Low", IF(F78="Local", "Low", IF(F78="Adjacent", "Medium", IF(F78="Network", "High", ""))))</f>
        <v/>
      </c>
      <c r="R78" s="22" t="str">
        <f aca="false">IF(AE78&gt;=Reference!$D$2, Reference!$G$2, IF(AE78&gt;=Reference!$D$3, Reference!$E$3, IF(AE78&gt;=Reference!$D$4, Reference!$E$4, IF(AE78&gt;=Reference!$D$5, Reference!$E$5, ""))))</f>
        <v>Low</v>
      </c>
      <c r="S78" s="27"/>
      <c r="T78" s="28"/>
      <c r="U78" s="15"/>
      <c r="V78" s="15"/>
      <c r="W78" s="15"/>
      <c r="Y78" s="16" t="n">
        <f aca="false">IF(H78=Reference!$A$12, Reference!$C$12, IF(H78=Reference!$A$11, Reference!$C$11, IF(H78=Reference!$A$10, Reference!$C$10, IF(H78=Reference!$A$9, Reference!$C$9, 0))))</f>
        <v>0</v>
      </c>
      <c r="Z78" s="16" t="n">
        <f aca="false">IF(J78=Reference!$A$20, Reference!$C$20, IF(J78=Reference!$A$19, Reference!$C$19, IF(J78=Reference!$A$18, Reference!$C$18, IF(J78=Reference!$A$17, Reference!$C$17, 0))))</f>
        <v>0</v>
      </c>
      <c r="AA78" s="16" t="n">
        <f aca="false">IF(L78=Reference!$A$28, Reference!$C$28, IF(L78=Reference!$A$27, Reference!$C$27, IF(L78=Reference!$A$26, Reference!$C$26, IF(L78=Reference!$A$25, Reference!$C$25, 0))))</f>
        <v>0</v>
      </c>
      <c r="AB78" s="16" t="n">
        <f aca="false">IF(N78=Reference!$A$36, Reference!$C$36, IF(N78=Reference!$A$35, Reference!$C$35, IF(N78=Reference!$A$34, Reference!$C$34, IF(N78=Reference!$A$33, Reference!$C$33, 0))))</f>
        <v>0</v>
      </c>
      <c r="AC78" s="16" t="n">
        <f aca="false">(Reference!$B$2*Y78 + Reference!$B$3*AA78 + Reference!$B$4*Z78 + Reference!$B$5 * AB78)/4</f>
        <v>0</v>
      </c>
      <c r="AD78" s="16" t="n">
        <f aca="false">IF(Q78=Reference!$C$41, Reference!$D$41, IF(Q78=Reference!$C$42, Reference!$D$42, IF(Q78=Reference!$C$43, Reference!$D$43, IF(Q78=Reference!$C$44, Reference!$D$44, 0))))</f>
        <v>0</v>
      </c>
      <c r="AE78" s="16" t="n">
        <f aca="false">1 + (AC78 * AD78)</f>
        <v>1</v>
      </c>
    </row>
    <row r="79" customFormat="false" ht="12.75" hidden="false" customHeight="true" outlineLevel="0" collapsed="false">
      <c r="A79" s="24"/>
      <c r="B79" s="15"/>
      <c r="C79" s="15"/>
      <c r="D79" s="25"/>
      <c r="E79" s="25"/>
      <c r="F79" s="15"/>
      <c r="G79" s="15"/>
      <c r="H79" s="15"/>
      <c r="I79" s="15"/>
      <c r="J79" s="15"/>
      <c r="K79" s="15"/>
      <c r="L79" s="15"/>
      <c r="M79" s="15"/>
      <c r="N79" s="15"/>
      <c r="O79" s="15"/>
      <c r="P79" s="22" t="str">
        <f aca="false">IF(AC79&gt;=Reference!$H$2, Reference!$G$2, IF(AC79&gt;=Reference!$H$3, Reference!$G$3, IF(AC79&gt;=Reference!$H$4, Reference!$G$4, IF(AC79&gt;=Reference!$H$5, Reference!$G$5, ""))))</f>
        <v/>
      </c>
      <c r="Q79" s="22" t="str">
        <f aca="false">IF(F79="Physical", "Very Low", IF(F79="Local", "Low", IF(F79="Adjacent", "Medium", IF(F79="Network", "High", ""))))</f>
        <v/>
      </c>
      <c r="R79" s="22" t="str">
        <f aca="false">IF(AE79&gt;=Reference!$D$2, Reference!$G$2, IF(AE79&gt;=Reference!$D$3, Reference!$E$3, IF(AE79&gt;=Reference!$D$4, Reference!$E$4, IF(AE79&gt;=Reference!$D$5, Reference!$E$5, ""))))</f>
        <v>Low</v>
      </c>
      <c r="S79" s="15"/>
      <c r="T79" s="15"/>
      <c r="U79" s="15"/>
      <c r="V79" s="36"/>
      <c r="W79" s="15"/>
      <c r="Y79" s="16" t="n">
        <f aca="false">IF(H79=Reference!$A$12, Reference!$C$12, IF(H79=Reference!$A$11, Reference!$C$11, IF(H79=Reference!$A$10, Reference!$C$10, IF(H79=Reference!$A$9, Reference!$C$9, 0))))</f>
        <v>0</v>
      </c>
      <c r="Z79" s="16" t="n">
        <f aca="false">IF(J79=Reference!$A$20, Reference!$C$20, IF(J79=Reference!$A$19, Reference!$C$19, IF(J79=Reference!$A$18, Reference!$C$18, IF(J79=Reference!$A$17, Reference!$C$17, 0))))</f>
        <v>0</v>
      </c>
      <c r="AA79" s="16" t="n">
        <f aca="false">IF(L79=Reference!$A$28, Reference!$C$28, IF(L79=Reference!$A$27, Reference!$C$27, IF(L79=Reference!$A$26, Reference!$C$26, IF(L79=Reference!$A$25, Reference!$C$25, 0))))</f>
        <v>0</v>
      </c>
      <c r="AB79" s="16" t="n">
        <f aca="false">IF(N79=Reference!$A$36, Reference!$C$36, IF(N79=Reference!$A$35, Reference!$C$35, IF(N79=Reference!$A$34, Reference!$C$34, IF(N79=Reference!$A$33, Reference!$C$33, 0))))</f>
        <v>0</v>
      </c>
      <c r="AC79" s="16" t="n">
        <f aca="false">(Reference!$B$2*Y79 + Reference!$B$3*AA79 + Reference!$B$4*Z79 + Reference!$B$5 * AB79)/4</f>
        <v>0</v>
      </c>
      <c r="AD79" s="16" t="n">
        <f aca="false">IF(Q79=Reference!$C$41, Reference!$D$41, IF(Q79=Reference!$C$42, Reference!$D$42, IF(Q79=Reference!$C$43, Reference!$D$43, IF(Q79=Reference!$C$44, Reference!$D$44, 0))))</f>
        <v>0</v>
      </c>
      <c r="AE79" s="16" t="n">
        <f aca="false">1 + (AC79 * AD79)</f>
        <v>1</v>
      </c>
    </row>
    <row r="80" customFormat="false" ht="14.25" hidden="false" customHeight="true" outlineLevel="0" collapsed="false">
      <c r="A80" s="24"/>
      <c r="B80" s="15"/>
      <c r="C80" s="15"/>
      <c r="D80" s="25"/>
      <c r="E80" s="25"/>
      <c r="F80" s="15"/>
      <c r="G80" s="30"/>
      <c r="H80" s="15"/>
      <c r="I80" s="15"/>
      <c r="J80" s="15"/>
      <c r="K80" s="15"/>
      <c r="L80" s="15"/>
      <c r="M80" s="15"/>
      <c r="N80" s="15"/>
      <c r="O80" s="15"/>
      <c r="P80" s="22" t="str">
        <f aca="false">IF(AC80&gt;=Reference!$H$2, Reference!$G$2, IF(AC80&gt;=Reference!$H$3, Reference!$G$3, IF(AC80&gt;=Reference!$H$4, Reference!$G$4, IF(AC80&gt;=Reference!$H$5, Reference!$G$5, ""))))</f>
        <v/>
      </c>
      <c r="Q80" s="22" t="str">
        <f aca="false">IF(F80="Physical", "Very Low", IF(F80="Local", "Low", IF(F80="Adjacent", "Medium", IF(F80="Network", "High", ""))))</f>
        <v/>
      </c>
      <c r="R80" s="22" t="str">
        <f aca="false">IF(AE80&gt;=Reference!$D$2, Reference!$G$2, IF(AE80&gt;=Reference!$D$3, Reference!$E$3, IF(AE80&gt;=Reference!$D$4, Reference!$E$4, IF(AE80&gt;=Reference!$D$5, Reference!$E$5, ""))))</f>
        <v>Low</v>
      </c>
      <c r="S80" s="15"/>
      <c r="T80" s="30"/>
      <c r="U80" s="15"/>
      <c r="V80" s="15"/>
      <c r="W80" s="15"/>
      <c r="Y80" s="16" t="n">
        <f aca="false">IF(H80=Reference!$A$12, Reference!$C$12, IF(H80=Reference!$A$11, Reference!$C$11, IF(H80=Reference!$A$10, Reference!$C$10, IF(H80=Reference!$A$9, Reference!$C$9, 0))))</f>
        <v>0</v>
      </c>
      <c r="Z80" s="16" t="n">
        <f aca="false">IF(J80=Reference!$A$20, Reference!$C$20, IF(J80=Reference!$A$19, Reference!$C$19, IF(J80=Reference!$A$18, Reference!$C$18, IF(J80=Reference!$A$17, Reference!$C$17, 0))))</f>
        <v>0</v>
      </c>
      <c r="AA80" s="16" t="n">
        <f aca="false">IF(L80=Reference!$A$28, Reference!$C$28, IF(L80=Reference!$A$27, Reference!$C$27, IF(L80=Reference!$A$26, Reference!$C$26, IF(L80=Reference!$A$25, Reference!$C$25, 0))))</f>
        <v>0</v>
      </c>
      <c r="AB80" s="16" t="n">
        <f aca="false">IF(N80=Reference!$A$36, Reference!$C$36, IF(N80=Reference!$A$35, Reference!$C$35, IF(N80=Reference!$A$34, Reference!$C$34, IF(N80=Reference!$A$33, Reference!$C$33, 0))))</f>
        <v>0</v>
      </c>
      <c r="AC80" s="16" t="n">
        <f aca="false">(Reference!$B$2*Y80 + Reference!$B$3*AA80 + Reference!$B$4*Z80 + Reference!$B$5 * AB80)/4</f>
        <v>0</v>
      </c>
      <c r="AD80" s="16" t="n">
        <f aca="false">IF(Q80=Reference!$C$41, Reference!$D$41, IF(Q80=Reference!$C$42, Reference!$D$42, IF(Q80=Reference!$C$43, Reference!$D$43, IF(Q80=Reference!$C$44, Reference!$D$44, 0))))</f>
        <v>0</v>
      </c>
      <c r="AE80" s="16" t="n">
        <f aca="false">1 + (AC80 * AD80)</f>
        <v>1</v>
      </c>
    </row>
    <row r="81" customFormat="false" ht="12.75" hidden="false" customHeight="true" outlineLevel="0" collapsed="false">
      <c r="A81" s="24"/>
      <c r="B81" s="15"/>
      <c r="C81" s="15"/>
      <c r="D81" s="25"/>
      <c r="E81" s="25"/>
      <c r="F81" s="15"/>
      <c r="G81" s="15"/>
      <c r="H81" s="15"/>
      <c r="I81" s="15"/>
      <c r="J81" s="15"/>
      <c r="K81" s="15"/>
      <c r="L81" s="15"/>
      <c r="M81" s="15"/>
      <c r="N81" s="15"/>
      <c r="O81" s="15"/>
      <c r="P81" s="22" t="str">
        <f aca="false">IF(AC81&gt;=Reference!$H$2, Reference!$G$2, IF(AC81&gt;=Reference!$H$3, Reference!$G$3, IF(AC81&gt;=Reference!$H$4, Reference!$G$4, IF(AC81&gt;=Reference!$H$5, Reference!$G$5, ""))))</f>
        <v/>
      </c>
      <c r="Q81" s="22" t="str">
        <f aca="false">IF(F81="Physical", "Very Low", IF(F81="Local", "Low", IF(F81="Adjacent", "Medium", IF(F81="Network", "High", ""))))</f>
        <v/>
      </c>
      <c r="R81" s="22" t="str">
        <f aca="false">IF(AE81&gt;=Reference!$D$2, Reference!$G$2, IF(AE81&gt;=Reference!$D$3, Reference!$E$3, IF(AE81&gt;=Reference!$D$4, Reference!$E$4, IF(AE81&gt;=Reference!$D$5, Reference!$E$5, ""))))</f>
        <v>Low</v>
      </c>
      <c r="S81" s="15"/>
      <c r="T81" s="15"/>
      <c r="U81" s="15"/>
      <c r="V81" s="15"/>
      <c r="W81" s="15"/>
      <c r="Y81" s="16" t="n">
        <f aca="false">IF(H81=Reference!$A$12, Reference!$C$12, IF(H81=Reference!$A$11, Reference!$C$11, IF(H81=Reference!$A$10, Reference!$C$10, IF(H81=Reference!$A$9, Reference!$C$9, 0))))</f>
        <v>0</v>
      </c>
      <c r="Z81" s="16" t="n">
        <f aca="false">IF(J81=Reference!$A$20, Reference!$C$20, IF(J81=Reference!$A$19, Reference!$C$19, IF(J81=Reference!$A$18, Reference!$C$18, IF(J81=Reference!$A$17, Reference!$C$17, 0))))</f>
        <v>0</v>
      </c>
      <c r="AA81" s="16" t="n">
        <f aca="false">IF(L81=Reference!$A$28, Reference!$C$28, IF(L81=Reference!$A$27, Reference!$C$27, IF(L81=Reference!$A$26, Reference!$C$26, IF(L81=Reference!$A$25, Reference!$C$25, 0))))</f>
        <v>0</v>
      </c>
      <c r="AB81" s="16" t="n">
        <f aca="false">IF(N81=Reference!$A$36, Reference!$C$36, IF(N81=Reference!$A$35, Reference!$C$35, IF(N81=Reference!$A$34, Reference!$C$34, IF(N81=Reference!$A$33, Reference!$C$33, 0))))</f>
        <v>0</v>
      </c>
      <c r="AC81" s="16" t="n">
        <f aca="false">(Reference!$B$2*Y81 + Reference!$B$3*AA81 + Reference!$B$4*Z81 + Reference!$B$5 * AB81)/4</f>
        <v>0</v>
      </c>
      <c r="AD81" s="16" t="n">
        <f aca="false">IF(Q81=Reference!$C$41, Reference!$D$41, IF(Q81=Reference!$C$42, Reference!$D$42, IF(Q81=Reference!$C$43, Reference!$D$43, IF(Q81=Reference!$C$44, Reference!$D$44, 0))))</f>
        <v>0</v>
      </c>
      <c r="AE81" s="16" t="n">
        <f aca="false">1 + (AC81 * AD81)</f>
        <v>1</v>
      </c>
    </row>
    <row r="82" customFormat="false" ht="12.75" hidden="false" customHeight="true" outlineLevel="0" collapsed="false">
      <c r="A82" s="24"/>
      <c r="B82" s="15"/>
      <c r="C82" s="15"/>
      <c r="D82" s="25"/>
      <c r="E82" s="25"/>
      <c r="F82" s="15"/>
      <c r="G82" s="15"/>
      <c r="H82" s="15"/>
      <c r="I82" s="15"/>
      <c r="J82" s="15"/>
      <c r="K82" s="15"/>
      <c r="L82" s="15"/>
      <c r="M82" s="15"/>
      <c r="N82" s="15"/>
      <c r="O82" s="15"/>
      <c r="P82" s="22" t="str">
        <f aca="false">IF(AC82&gt;=Reference!$H$2, Reference!$G$2, IF(AC82&gt;=Reference!$H$3, Reference!$G$3, IF(AC82&gt;=Reference!$H$4, Reference!$G$4, IF(AC82&gt;=Reference!$H$5, Reference!$G$5, ""))))</f>
        <v/>
      </c>
      <c r="Q82" s="22" t="str">
        <f aca="false">IF(F82="Physical", "Very Low", IF(F82="Local", "Low", IF(F82="Adjacent", "Medium", IF(F82="Network", "High", ""))))</f>
        <v/>
      </c>
      <c r="R82" s="22" t="str">
        <f aca="false">IF(AE82&gt;=Reference!$D$2, Reference!$G$2, IF(AE82&gt;=Reference!$D$3, Reference!$E$3, IF(AE82&gt;=Reference!$D$4, Reference!$E$4, IF(AE82&gt;=Reference!$D$5, Reference!$E$5, ""))))</f>
        <v>Low</v>
      </c>
      <c r="S82" s="15"/>
      <c r="T82" s="15"/>
      <c r="U82" s="15"/>
      <c r="V82" s="15"/>
      <c r="W82" s="15"/>
      <c r="Y82" s="16" t="n">
        <f aca="false">IF(H82=Reference!$A$12, Reference!$C$12, IF(H82=Reference!$A$11, Reference!$C$11, IF(H82=Reference!$A$10, Reference!$C$10, IF(H82=Reference!$A$9, Reference!$C$9, 0))))</f>
        <v>0</v>
      </c>
      <c r="Z82" s="16" t="n">
        <f aca="false">IF(J82=Reference!$A$20, Reference!$C$20, IF(J82=Reference!$A$19, Reference!$C$19, IF(J82=Reference!$A$18, Reference!$C$18, IF(J82=Reference!$A$17, Reference!$C$17, 0))))</f>
        <v>0</v>
      </c>
      <c r="AA82" s="16" t="n">
        <f aca="false">IF(L82=Reference!$A$28, Reference!$C$28, IF(L82=Reference!$A$27, Reference!$C$27, IF(L82=Reference!$A$26, Reference!$C$26, IF(L82=Reference!$A$25, Reference!$C$25, 0))))</f>
        <v>0</v>
      </c>
      <c r="AB82" s="16" t="n">
        <f aca="false">IF(N82=Reference!$A$36, Reference!$C$36, IF(N82=Reference!$A$35, Reference!$C$35, IF(N82=Reference!$A$34, Reference!$C$34, IF(N82=Reference!$A$33, Reference!$C$33, 0))))</f>
        <v>0</v>
      </c>
      <c r="AC82" s="16" t="n">
        <f aca="false">(Reference!$B$2*Y82 + Reference!$B$3*AA82 + Reference!$B$4*Z82 + Reference!$B$5 * AB82)/4</f>
        <v>0</v>
      </c>
      <c r="AD82" s="16" t="n">
        <f aca="false">IF(Q82=Reference!$C$41, Reference!$D$41, IF(Q82=Reference!$C$42, Reference!$D$42, IF(Q82=Reference!$C$43, Reference!$D$43, IF(Q82=Reference!$C$44, Reference!$D$44, 0))))</f>
        <v>0</v>
      </c>
      <c r="AE82" s="16" t="n">
        <f aca="false">1 + (AC82 * AD82)</f>
        <v>1</v>
      </c>
    </row>
    <row r="83" customFormat="false" ht="12.75" hidden="false" customHeight="true" outlineLevel="0" collapsed="false">
      <c r="A83" s="24"/>
      <c r="B83" s="15"/>
      <c r="C83" s="15"/>
      <c r="D83" s="25"/>
      <c r="E83" s="25"/>
      <c r="F83" s="15"/>
      <c r="G83" s="15"/>
      <c r="H83" s="15"/>
      <c r="I83" s="15"/>
      <c r="J83" s="15"/>
      <c r="K83" s="15"/>
      <c r="L83" s="15"/>
      <c r="M83" s="15"/>
      <c r="N83" s="15"/>
      <c r="O83" s="15"/>
      <c r="P83" s="22" t="str">
        <f aca="false">IF(AC83&gt;=Reference!$H$2, Reference!$G$2, IF(AC83&gt;=Reference!$H$3, Reference!$G$3, IF(AC83&gt;=Reference!$H$4, Reference!$G$4, IF(AC83&gt;=Reference!$H$5, Reference!$G$5, ""))))</f>
        <v/>
      </c>
      <c r="Q83" s="22" t="str">
        <f aca="false">IF(F83="Physical", "Very Low", IF(F83="Local", "Low", IF(F83="Adjacent", "Medium", IF(F83="Network", "High", ""))))</f>
        <v/>
      </c>
      <c r="R83" s="22" t="str">
        <f aca="false">IF(AE83&gt;=Reference!$D$2, Reference!$G$2, IF(AE83&gt;=Reference!$D$3, Reference!$E$3, IF(AE83&gt;=Reference!$D$4, Reference!$E$4, IF(AE83&gt;=Reference!$D$5, Reference!$E$5, ""))))</f>
        <v>Low</v>
      </c>
      <c r="S83" s="15"/>
      <c r="T83" s="37"/>
      <c r="U83" s="15"/>
      <c r="V83" s="15"/>
      <c r="W83" s="15"/>
      <c r="Y83" s="16" t="n">
        <f aca="false">IF(H83=Reference!$A$12, Reference!$C$12, IF(H83=Reference!$A$11, Reference!$C$11, IF(H83=Reference!$A$10, Reference!$C$10, IF(H83=Reference!$A$9, Reference!$C$9, 0))))</f>
        <v>0</v>
      </c>
      <c r="Z83" s="16" t="n">
        <f aca="false">IF(J83=Reference!$A$20, Reference!$C$20, IF(J83=Reference!$A$19, Reference!$C$19, IF(J83=Reference!$A$18, Reference!$C$18, IF(J83=Reference!$A$17, Reference!$C$17, 0))))</f>
        <v>0</v>
      </c>
      <c r="AA83" s="16" t="n">
        <f aca="false">IF(L83=Reference!$A$28, Reference!$C$28, IF(L83=Reference!$A$27, Reference!$C$27, IF(L83=Reference!$A$26, Reference!$C$26, IF(L83=Reference!$A$25, Reference!$C$25, 0))))</f>
        <v>0</v>
      </c>
      <c r="AB83" s="16" t="n">
        <f aca="false">IF(N83=Reference!$A$36, Reference!$C$36, IF(N83=Reference!$A$35, Reference!$C$35, IF(N83=Reference!$A$34, Reference!$C$34, IF(N83=Reference!$A$33, Reference!$C$33, 0))))</f>
        <v>0</v>
      </c>
      <c r="AC83" s="16" t="n">
        <f aca="false">(Reference!$B$2*Y83 + Reference!$B$3*AA83 + Reference!$B$4*Z83 + Reference!$B$5 * AB83)/4</f>
        <v>0</v>
      </c>
      <c r="AD83" s="16" t="n">
        <f aca="false">IF(Q83=Reference!$C$41, Reference!$D$41, IF(Q83=Reference!$C$42, Reference!$D$42, IF(Q83=Reference!$C$43, Reference!$D$43, IF(Q83=Reference!$C$44, Reference!$D$44, 0))))</f>
        <v>0</v>
      </c>
      <c r="AE83" s="16" t="n">
        <f aca="false">1 + (AC83 * AD83)</f>
        <v>1</v>
      </c>
    </row>
    <row r="84" customFormat="false" ht="12.75" hidden="false" customHeight="true" outlineLevel="0" collapsed="false">
      <c r="A84" s="24"/>
      <c r="B84" s="15"/>
      <c r="C84" s="15"/>
      <c r="D84" s="25"/>
      <c r="E84" s="25"/>
      <c r="F84" s="15"/>
      <c r="G84" s="15"/>
      <c r="H84" s="15"/>
      <c r="I84" s="15"/>
      <c r="J84" s="15"/>
      <c r="K84" s="26"/>
      <c r="L84" s="15"/>
      <c r="M84" s="15"/>
      <c r="N84" s="15"/>
      <c r="O84" s="26"/>
      <c r="P84" s="22" t="str">
        <f aca="false">IF(AC84&gt;=Reference!$H$2, Reference!$G$2, IF(AC84&gt;=Reference!$H$3, Reference!$G$3, IF(AC84&gt;=Reference!$H$4, Reference!$G$4, IF(AC84&gt;=Reference!$H$5, Reference!$G$5, ""))))</f>
        <v/>
      </c>
      <c r="Q84" s="22" t="str">
        <f aca="false">IF(F84="Physical", "Very Low", IF(F84="Local", "Low", IF(F84="Adjacent", "Medium", IF(F84="Network", "High", ""))))</f>
        <v/>
      </c>
      <c r="R84" s="22" t="str">
        <f aca="false">IF(AE84&gt;=Reference!$D$2, Reference!$G$2, IF(AE84&gt;=Reference!$D$3, Reference!$E$3, IF(AE84&gt;=Reference!$D$4, Reference!$E$4, IF(AE84&gt;=Reference!$D$5, Reference!$E$5, ""))))</f>
        <v>Low</v>
      </c>
      <c r="S84" s="15"/>
      <c r="T84" s="15"/>
      <c r="U84" s="15"/>
      <c r="V84" s="15"/>
      <c r="W84" s="15"/>
      <c r="Y84" s="16" t="n">
        <f aca="false">IF(H84=Reference!$A$12, Reference!$C$12, IF(H84=Reference!$A$11, Reference!$C$11, IF(H84=Reference!$A$10, Reference!$C$10, IF(H84=Reference!$A$9, Reference!$C$9, 0))))</f>
        <v>0</v>
      </c>
      <c r="Z84" s="16" t="n">
        <f aca="false">IF(J84=Reference!$A$20, Reference!$C$20, IF(J84=Reference!$A$19, Reference!$C$19, IF(J84=Reference!$A$18, Reference!$C$18, IF(J84=Reference!$A$17, Reference!$C$17, 0))))</f>
        <v>0</v>
      </c>
      <c r="AA84" s="16" t="n">
        <f aca="false">IF(L84=Reference!$A$28, Reference!$C$28, IF(L84=Reference!$A$27, Reference!$C$27, IF(L84=Reference!$A$26, Reference!$C$26, IF(L84=Reference!$A$25, Reference!$C$25, 0))))</f>
        <v>0</v>
      </c>
      <c r="AB84" s="16" t="n">
        <f aca="false">IF(N84=Reference!$A$36, Reference!$C$36, IF(N84=Reference!$A$35, Reference!$C$35, IF(N84=Reference!$A$34, Reference!$C$34, IF(N84=Reference!$A$33, Reference!$C$33, 0))))</f>
        <v>0</v>
      </c>
      <c r="AC84" s="16" t="n">
        <f aca="false">(Reference!$B$2*Y84 + Reference!$B$3*AA84 + Reference!$B$4*Z84 + Reference!$B$5 * AB84)/4</f>
        <v>0</v>
      </c>
      <c r="AD84" s="16" t="n">
        <f aca="false">IF(Q84=Reference!$C$41, Reference!$D$41, IF(Q84=Reference!$C$42, Reference!$D$42, IF(Q84=Reference!$C$43, Reference!$D$43, IF(Q84=Reference!$C$44, Reference!$D$44, 0))))</f>
        <v>0</v>
      </c>
      <c r="AE84" s="16" t="n">
        <f aca="false">1 + (AC84 * AD84)</f>
        <v>1</v>
      </c>
    </row>
    <row r="85" customFormat="false" ht="12.75" hidden="false" customHeight="true" outlineLevel="0" collapsed="false">
      <c r="A85" s="24"/>
      <c r="B85" s="15"/>
      <c r="C85" s="15"/>
      <c r="D85" s="25"/>
      <c r="E85" s="25"/>
      <c r="F85" s="15"/>
      <c r="G85" s="15"/>
      <c r="H85" s="15"/>
      <c r="I85" s="33"/>
      <c r="J85" s="15"/>
      <c r="K85" s="26"/>
      <c r="L85" s="15"/>
      <c r="M85" s="15"/>
      <c r="N85" s="15"/>
      <c r="O85" s="15"/>
      <c r="P85" s="22" t="str">
        <f aca="false">IF(AC85&gt;=Reference!$H$2, Reference!$G$2, IF(AC85&gt;=Reference!$H$3, Reference!$G$3, IF(AC85&gt;=Reference!$H$4, Reference!$G$4, IF(AC85&gt;=Reference!$H$5, Reference!$G$5, ""))))</f>
        <v/>
      </c>
      <c r="Q85" s="22" t="str">
        <f aca="false">IF(F85="Physical", "Very Low", IF(F85="Local", "Low", IF(F85="Adjacent", "Medium", IF(F85="Network", "High", ""))))</f>
        <v/>
      </c>
      <c r="R85" s="22" t="str">
        <f aca="false">IF(AE85&gt;=Reference!$D$2, Reference!$G$2, IF(AE85&gt;=Reference!$D$3, Reference!$E$3, IF(AE85&gt;=Reference!$D$4, Reference!$E$4, IF(AE85&gt;=Reference!$D$5, Reference!$E$5, ""))))</f>
        <v>Low</v>
      </c>
      <c r="S85" s="15"/>
      <c r="T85" s="15"/>
      <c r="U85" s="15"/>
      <c r="V85" s="26"/>
      <c r="W85" s="15"/>
      <c r="Y85" s="16" t="n">
        <f aca="false">IF(H85=Reference!$A$12, Reference!$C$12, IF(H85=Reference!$A$11, Reference!$C$11, IF(H85=Reference!$A$10, Reference!$C$10, IF(H85=Reference!$A$9, Reference!$C$9, 0))))</f>
        <v>0</v>
      </c>
      <c r="Z85" s="16" t="n">
        <f aca="false">IF(J85=Reference!$A$20, Reference!$C$20, IF(J85=Reference!$A$19, Reference!$C$19, IF(J85=Reference!$A$18, Reference!$C$18, IF(J85=Reference!$A$17, Reference!$C$17, 0))))</f>
        <v>0</v>
      </c>
      <c r="AA85" s="16" t="n">
        <f aca="false">IF(L85=Reference!$A$28, Reference!$C$28, IF(L85=Reference!$A$27, Reference!$C$27, IF(L85=Reference!$A$26, Reference!$C$26, IF(L85=Reference!$A$25, Reference!$C$25, 0))))</f>
        <v>0</v>
      </c>
      <c r="AB85" s="16" t="n">
        <f aca="false">IF(N85=Reference!$A$36, Reference!$C$36, IF(N85=Reference!$A$35, Reference!$C$35, IF(N85=Reference!$A$34, Reference!$C$34, IF(N85=Reference!$A$33, Reference!$C$33, 0))))</f>
        <v>0</v>
      </c>
      <c r="AC85" s="16" t="n">
        <f aca="false">(Reference!$B$2*Y85 + Reference!$B$3*AA85 + Reference!$B$4*Z85 + Reference!$B$5 * AB85)/4</f>
        <v>0</v>
      </c>
      <c r="AD85" s="16" t="n">
        <f aca="false">IF(Q85=Reference!$C$41, Reference!$D$41, IF(Q85=Reference!$C$42, Reference!$D$42, IF(Q85=Reference!$C$43, Reference!$D$43, IF(Q85=Reference!$C$44, Reference!$D$44, 0))))</f>
        <v>0</v>
      </c>
      <c r="AE85" s="16" t="n">
        <f aca="false">1 + (AC85 * AD85)</f>
        <v>1</v>
      </c>
    </row>
    <row r="86" customFormat="false" ht="12.75" hidden="false" customHeight="true" outlineLevel="0" collapsed="false">
      <c r="A86" s="24"/>
      <c r="B86" s="15"/>
      <c r="C86" s="15"/>
      <c r="D86" s="25"/>
      <c r="E86" s="25"/>
      <c r="F86" s="15"/>
      <c r="G86" s="25"/>
      <c r="H86" s="15"/>
      <c r="I86" s="15"/>
      <c r="J86" s="15"/>
      <c r="K86" s="26"/>
      <c r="L86" s="15"/>
      <c r="M86" s="15"/>
      <c r="N86" s="15"/>
      <c r="O86" s="15"/>
      <c r="P86" s="22" t="str">
        <f aca="false">IF(AC86&gt;=Reference!$H$2, Reference!$G$2, IF(AC86&gt;=Reference!$H$3, Reference!$G$3, IF(AC86&gt;=Reference!$H$4, Reference!$G$4, IF(AC86&gt;=Reference!$H$5, Reference!$G$5, ""))))</f>
        <v/>
      </c>
      <c r="Q86" s="22" t="str">
        <f aca="false">IF(F86="Physical", "Very Low", IF(F86="Local", "Low", IF(F86="Adjacent", "Medium", IF(F86="Network", "High", ""))))</f>
        <v/>
      </c>
      <c r="R86" s="22" t="str">
        <f aca="false">IF(AE86&gt;=Reference!$D$2, Reference!$G$2, IF(AE86&gt;=Reference!$D$3, Reference!$E$3, IF(AE86&gt;=Reference!$D$4, Reference!$E$4, IF(AE86&gt;=Reference!$D$5, Reference!$E$5, ""))))</f>
        <v>Low</v>
      </c>
      <c r="S86" s="15"/>
      <c r="T86" s="15"/>
      <c r="U86" s="15"/>
      <c r="V86" s="15"/>
      <c r="W86" s="15"/>
      <c r="Y86" s="16" t="n">
        <f aca="false">IF(H86=Reference!$A$12, Reference!$C$12, IF(H86=Reference!$A$11, Reference!$C$11, IF(H86=Reference!$A$10, Reference!$C$10, IF(H86=Reference!$A$9, Reference!$C$9, 0))))</f>
        <v>0</v>
      </c>
      <c r="Z86" s="16" t="n">
        <f aca="false">IF(J86=Reference!$A$20, Reference!$C$20, IF(J86=Reference!$A$19, Reference!$C$19, IF(J86=Reference!$A$18, Reference!$C$18, IF(J86=Reference!$A$17, Reference!$C$17, 0))))</f>
        <v>0</v>
      </c>
      <c r="AA86" s="16" t="n">
        <f aca="false">IF(L86=Reference!$A$28, Reference!$C$28, IF(L86=Reference!$A$27, Reference!$C$27, IF(L86=Reference!$A$26, Reference!$C$26, IF(L86=Reference!$A$25, Reference!$C$25, 0))))</f>
        <v>0</v>
      </c>
      <c r="AB86" s="16" t="n">
        <f aca="false">IF(N86=Reference!$A$36, Reference!$C$36, IF(N86=Reference!$A$35, Reference!$C$35, IF(N86=Reference!$A$34, Reference!$C$34, IF(N86=Reference!$A$33, Reference!$C$33, 0))))</f>
        <v>0</v>
      </c>
      <c r="AC86" s="16" t="n">
        <f aca="false">(Reference!$B$2*Y86 + Reference!$B$3*AA86 + Reference!$B$4*Z86 + Reference!$B$5 * AB86)/4</f>
        <v>0</v>
      </c>
      <c r="AD86" s="16" t="n">
        <f aca="false">IF(Q86=Reference!$C$41, Reference!$D$41, IF(Q86=Reference!$C$42, Reference!$D$42, IF(Q86=Reference!$C$43, Reference!$D$43, IF(Q86=Reference!$C$44, Reference!$D$44, 0))))</f>
        <v>0</v>
      </c>
      <c r="AE86" s="16" t="n">
        <f aca="false">1 + (AC86 * AD86)</f>
        <v>1</v>
      </c>
    </row>
    <row r="87" customFormat="false" ht="12.75" hidden="false" customHeight="true" outlineLevel="0" collapsed="false">
      <c r="A87" s="24"/>
      <c r="B87" s="15"/>
      <c r="C87" s="15"/>
      <c r="D87" s="25"/>
      <c r="E87" s="25"/>
      <c r="F87" s="15"/>
      <c r="G87" s="15"/>
      <c r="H87" s="15"/>
      <c r="I87" s="15"/>
      <c r="J87" s="15"/>
      <c r="K87" s="15"/>
      <c r="L87" s="15"/>
      <c r="M87" s="15"/>
      <c r="N87" s="15"/>
      <c r="O87" s="15"/>
      <c r="P87" s="22" t="str">
        <f aca="false">IF(AC87&gt;=Reference!$H$2, Reference!$G$2, IF(AC87&gt;=Reference!$H$3, Reference!$G$3, IF(AC87&gt;=Reference!$H$4, Reference!$G$4, IF(AC87&gt;=Reference!$H$5, Reference!$G$5, ""))))</f>
        <v/>
      </c>
      <c r="Q87" s="22" t="str">
        <f aca="false">IF(F87="Physical", "Very Low", IF(F87="Local", "Low", IF(F87="Adjacent", "Medium", IF(F87="Network", "High", ""))))</f>
        <v/>
      </c>
      <c r="R87" s="22" t="str">
        <f aca="false">IF(AE87&gt;=Reference!$D$2, Reference!$G$2, IF(AE87&gt;=Reference!$D$3, Reference!$E$3, IF(AE87&gt;=Reference!$D$4, Reference!$E$4, IF(AE87&gt;=Reference!$D$5, Reference!$E$5, ""))))</f>
        <v>Low</v>
      </c>
      <c r="S87" s="15"/>
      <c r="T87" s="15"/>
      <c r="U87" s="15"/>
      <c r="V87" s="36"/>
      <c r="W87" s="15"/>
      <c r="Y87" s="16" t="n">
        <f aca="false">IF(H87=Reference!$A$12, Reference!$C$12, IF(H87=Reference!$A$11, Reference!$C$11, IF(H87=Reference!$A$10, Reference!$C$10, IF(H87=Reference!$A$9, Reference!$C$9, 0))))</f>
        <v>0</v>
      </c>
      <c r="Z87" s="16" t="n">
        <f aca="false">IF(J87=Reference!$A$20, Reference!$C$20, IF(J87=Reference!$A$19, Reference!$C$19, IF(J87=Reference!$A$18, Reference!$C$18, IF(J87=Reference!$A$17, Reference!$C$17, 0))))</f>
        <v>0</v>
      </c>
      <c r="AA87" s="16" t="n">
        <f aca="false">IF(L87=Reference!$A$28, Reference!$C$28, IF(L87=Reference!$A$27, Reference!$C$27, IF(L87=Reference!$A$26, Reference!$C$26, IF(L87=Reference!$A$25, Reference!$C$25, 0))))</f>
        <v>0</v>
      </c>
      <c r="AB87" s="16" t="n">
        <f aca="false">IF(N87=Reference!$A$36, Reference!$C$36, IF(N87=Reference!$A$35, Reference!$C$35, IF(N87=Reference!$A$34, Reference!$C$34, IF(N87=Reference!$A$33, Reference!$C$33, 0))))</f>
        <v>0</v>
      </c>
      <c r="AC87" s="16" t="n">
        <f aca="false">(Reference!$B$2*Y87 + Reference!$B$3*AA87 + Reference!$B$4*Z87 + Reference!$B$5 * AB87)/4</f>
        <v>0</v>
      </c>
      <c r="AD87" s="16" t="n">
        <f aca="false">IF(Q87=Reference!$C$41, Reference!$D$41, IF(Q87=Reference!$C$42, Reference!$D$42, IF(Q87=Reference!$C$43, Reference!$D$43, IF(Q87=Reference!$C$44, Reference!$D$44, 0))))</f>
        <v>0</v>
      </c>
      <c r="AE87" s="16" t="n">
        <f aca="false">1 + (AC87 * AD87)</f>
        <v>1</v>
      </c>
    </row>
    <row r="88" customFormat="false" ht="12.75" hidden="false" customHeight="true" outlineLevel="0" collapsed="false">
      <c r="A88" s="24"/>
      <c r="B88" s="15"/>
      <c r="C88" s="15"/>
      <c r="D88" s="25"/>
      <c r="E88" s="25"/>
      <c r="F88" s="15"/>
      <c r="G88" s="15"/>
      <c r="H88" s="15"/>
      <c r="I88" s="15"/>
      <c r="J88" s="15"/>
      <c r="K88" s="26"/>
      <c r="L88" s="15"/>
      <c r="M88" s="15"/>
      <c r="N88" s="15"/>
      <c r="O88" s="15"/>
      <c r="P88" s="22" t="str">
        <f aca="false">IF(AC88&gt;=Reference!$H$2, Reference!$G$2, IF(AC88&gt;=Reference!$H$3, Reference!$G$3, IF(AC88&gt;=Reference!$H$4, Reference!$G$4, IF(AC88&gt;=Reference!$H$5, Reference!$G$5, ""))))</f>
        <v/>
      </c>
      <c r="Q88" s="22" t="str">
        <f aca="false">IF(F88="Physical", "Very Low", IF(F88="Local", "Low", IF(F88="Adjacent", "Medium", IF(F88="Network", "High", ""))))</f>
        <v/>
      </c>
      <c r="R88" s="22" t="str">
        <f aca="false">IF(AE88&gt;=Reference!$D$2, Reference!$G$2, IF(AE88&gt;=Reference!$D$3, Reference!$E$3, IF(AE88&gt;=Reference!$D$4, Reference!$E$4, IF(AE88&gt;=Reference!$D$5, Reference!$E$5, ""))))</f>
        <v>Low</v>
      </c>
      <c r="S88" s="15"/>
      <c r="T88" s="26"/>
      <c r="U88" s="15"/>
      <c r="V88" s="15"/>
      <c r="W88" s="15"/>
      <c r="Y88" s="16" t="n">
        <f aca="false">IF(H88=Reference!$A$12, Reference!$C$12, IF(H88=Reference!$A$11, Reference!$C$11, IF(H88=Reference!$A$10, Reference!$C$10, IF(H88=Reference!$A$9, Reference!$C$9, 0))))</f>
        <v>0</v>
      </c>
      <c r="Z88" s="16" t="n">
        <f aca="false">IF(J88=Reference!$A$20, Reference!$C$20, IF(J88=Reference!$A$19, Reference!$C$19, IF(J88=Reference!$A$18, Reference!$C$18, IF(J88=Reference!$A$17, Reference!$C$17, 0))))</f>
        <v>0</v>
      </c>
      <c r="AA88" s="16" t="n">
        <f aca="false">IF(L88=Reference!$A$28, Reference!$C$28, IF(L88=Reference!$A$27, Reference!$C$27, IF(L88=Reference!$A$26, Reference!$C$26, IF(L88=Reference!$A$25, Reference!$C$25, 0))))</f>
        <v>0</v>
      </c>
      <c r="AB88" s="16" t="n">
        <f aca="false">IF(N88=Reference!$A$36, Reference!$C$36, IF(N88=Reference!$A$35, Reference!$C$35, IF(N88=Reference!$A$34, Reference!$C$34, IF(N88=Reference!$A$33, Reference!$C$33, 0))))</f>
        <v>0</v>
      </c>
      <c r="AC88" s="16" t="n">
        <f aca="false">(Reference!$B$2*Y88 + Reference!$B$3*AA88 + Reference!$B$4*Z88 + Reference!$B$5 * AB88)/4</f>
        <v>0</v>
      </c>
      <c r="AD88" s="16" t="n">
        <f aca="false">IF(Q88=Reference!$C$41, Reference!$D$41, IF(Q88=Reference!$C$42, Reference!$D$42, IF(Q88=Reference!$C$43, Reference!$D$43, IF(Q88=Reference!$C$44, Reference!$D$44, 0))))</f>
        <v>0</v>
      </c>
      <c r="AE88" s="16" t="n">
        <f aca="false">1 + (AC88 * AD88)</f>
        <v>1</v>
      </c>
    </row>
    <row r="89" customFormat="false" ht="12.75" hidden="false" customHeight="true" outlineLevel="0" collapsed="false">
      <c r="A89" s="24"/>
      <c r="B89" s="15"/>
      <c r="C89" s="15"/>
      <c r="D89" s="25"/>
      <c r="E89" s="25"/>
      <c r="F89" s="15"/>
      <c r="G89" s="15"/>
      <c r="H89" s="15"/>
      <c r="I89" s="15"/>
      <c r="J89" s="15"/>
      <c r="K89" s="15"/>
      <c r="L89" s="15"/>
      <c r="M89" s="15"/>
      <c r="N89" s="15"/>
      <c r="O89" s="15"/>
      <c r="P89" s="22" t="str">
        <f aca="false">IF(AC89&gt;=Reference!$H$2, Reference!$G$2, IF(AC89&gt;=Reference!$H$3, Reference!$G$3, IF(AC89&gt;=Reference!$H$4, Reference!$G$4, IF(AC89&gt;=Reference!$H$5, Reference!$G$5, ""))))</f>
        <v/>
      </c>
      <c r="Q89" s="22" t="str">
        <f aca="false">IF(F89="Physical", "Very Low", IF(F89="Local", "Low", IF(F89="Adjacent", "Medium", IF(F89="Network", "High", ""))))</f>
        <v/>
      </c>
      <c r="R89" s="22" t="str">
        <f aca="false">IF(AE89&gt;=Reference!$D$2, Reference!$G$2, IF(AE89&gt;=Reference!$D$3, Reference!$E$3, IF(AE89&gt;=Reference!$D$4, Reference!$E$4, IF(AE89&gt;=Reference!$D$5, Reference!$E$5, ""))))</f>
        <v>Low</v>
      </c>
      <c r="S89" s="15"/>
      <c r="T89" s="15"/>
      <c r="U89" s="15"/>
      <c r="V89" s="15"/>
      <c r="W89" s="15"/>
      <c r="Y89" s="16" t="n">
        <f aca="false">IF(H89=Reference!$A$12, Reference!$C$12, IF(H89=Reference!$A$11, Reference!$C$11, IF(H89=Reference!$A$10, Reference!$C$10, IF(H89=Reference!$A$9, Reference!$C$9, 0))))</f>
        <v>0</v>
      </c>
      <c r="Z89" s="16" t="n">
        <f aca="false">IF(J89=Reference!$A$20, Reference!$C$20, IF(J89=Reference!$A$19, Reference!$C$19, IF(J89=Reference!$A$18, Reference!$C$18, IF(J89=Reference!$A$17, Reference!$C$17, 0))))</f>
        <v>0</v>
      </c>
      <c r="AA89" s="16" t="n">
        <f aca="false">IF(L89=Reference!$A$28, Reference!$C$28, IF(L89=Reference!$A$27, Reference!$C$27, IF(L89=Reference!$A$26, Reference!$C$26, IF(L89=Reference!$A$25, Reference!$C$25, 0))))</f>
        <v>0</v>
      </c>
      <c r="AB89" s="16" t="n">
        <f aca="false">IF(N89=Reference!$A$36, Reference!$C$36, IF(N89=Reference!$A$35, Reference!$C$35, IF(N89=Reference!$A$34, Reference!$C$34, IF(N89=Reference!$A$33, Reference!$C$33, 0))))</f>
        <v>0</v>
      </c>
      <c r="AC89" s="16" t="n">
        <f aca="false">(Reference!$B$2*Y89 + Reference!$B$3*AA89 + Reference!$B$4*Z89 + Reference!$B$5 * AB89)/4</f>
        <v>0</v>
      </c>
      <c r="AD89" s="16" t="n">
        <f aca="false">IF(Q89=Reference!$C$41, Reference!$D$41, IF(Q89=Reference!$C$42, Reference!$D$42, IF(Q89=Reference!$C$43, Reference!$D$43, IF(Q89=Reference!$C$44, Reference!$D$44, 0))))</f>
        <v>0</v>
      </c>
      <c r="AE89" s="16" t="n">
        <f aca="false">1 + (AC89 * AD89)</f>
        <v>1</v>
      </c>
    </row>
    <row r="90" customFormat="false" ht="12.75" hidden="false" customHeight="true" outlineLevel="0" collapsed="false">
      <c r="A90" s="24"/>
      <c r="B90" s="15"/>
      <c r="C90" s="15"/>
      <c r="D90" s="25"/>
      <c r="E90" s="25"/>
      <c r="F90" s="15"/>
      <c r="G90" s="15"/>
      <c r="H90" s="15"/>
      <c r="I90" s="15"/>
      <c r="J90" s="15"/>
      <c r="K90" s="15"/>
      <c r="L90" s="15"/>
      <c r="M90" s="15"/>
      <c r="N90" s="15"/>
      <c r="O90" s="15"/>
      <c r="P90" s="22" t="str">
        <f aca="false">IF(AC90&gt;=Reference!$H$2, Reference!$G$2, IF(AC90&gt;=Reference!$H$3, Reference!$G$3, IF(AC90&gt;=Reference!$H$4, Reference!$G$4, IF(AC90&gt;=Reference!$H$5, Reference!$G$5, ""))))</f>
        <v/>
      </c>
      <c r="Q90" s="22" t="str">
        <f aca="false">IF(F90="Physical", "Very Low", IF(F90="Local", "Low", IF(F90="Adjacent", "Medium", IF(F90="Network", "High", ""))))</f>
        <v/>
      </c>
      <c r="R90" s="22" t="str">
        <f aca="false">IF(AE90&gt;=Reference!$D$2, Reference!$G$2, IF(AE90&gt;=Reference!$D$3, Reference!$E$3, IF(AE90&gt;=Reference!$D$4, Reference!$E$4, IF(AE90&gt;=Reference!$D$5, Reference!$E$5, ""))))</f>
        <v>Low</v>
      </c>
      <c r="S90" s="15"/>
      <c r="T90" s="15"/>
      <c r="U90" s="15"/>
      <c r="V90" s="15"/>
      <c r="W90" s="15"/>
      <c r="Y90" s="16" t="n">
        <f aca="false">IF(H90=Reference!$A$12, Reference!$C$12, IF(H90=Reference!$A$11, Reference!$C$11, IF(H90=Reference!$A$10, Reference!$C$10, IF(H90=Reference!$A$9, Reference!$C$9, 0))))</f>
        <v>0</v>
      </c>
      <c r="Z90" s="16" t="n">
        <f aca="false">IF(J90=Reference!$A$20, Reference!$C$20, IF(J90=Reference!$A$19, Reference!$C$19, IF(J90=Reference!$A$18, Reference!$C$18, IF(J90=Reference!$A$17, Reference!$C$17, 0))))</f>
        <v>0</v>
      </c>
      <c r="AA90" s="16" t="n">
        <f aca="false">IF(L90=Reference!$A$28, Reference!$C$28, IF(L90=Reference!$A$27, Reference!$C$27, IF(L90=Reference!$A$26, Reference!$C$26, IF(L90=Reference!$A$25, Reference!$C$25, 0))))</f>
        <v>0</v>
      </c>
      <c r="AB90" s="16" t="n">
        <f aca="false">IF(N90=Reference!$A$36, Reference!$C$36, IF(N90=Reference!$A$35, Reference!$C$35, IF(N90=Reference!$A$34, Reference!$C$34, IF(N90=Reference!$A$33, Reference!$C$33, 0))))</f>
        <v>0</v>
      </c>
      <c r="AC90" s="16" t="n">
        <f aca="false">(Reference!$B$2*Y90 + Reference!$B$3*AA90 + Reference!$B$4*Z90 + Reference!$B$5 * AB90)/4</f>
        <v>0</v>
      </c>
      <c r="AD90" s="16" t="n">
        <f aca="false">IF(Q90=Reference!$C$41, Reference!$D$41, IF(Q90=Reference!$C$42, Reference!$D$42, IF(Q90=Reference!$C$43, Reference!$D$43, IF(Q90=Reference!$C$44, Reference!$D$44, 0))))</f>
        <v>0</v>
      </c>
      <c r="AE90" s="16" t="n">
        <f aca="false">1 + (AC90 * AD90)</f>
        <v>1</v>
      </c>
    </row>
    <row r="91" customFormat="false" ht="12.75" hidden="false" customHeight="true" outlineLevel="0" collapsed="false">
      <c r="A91" s="24"/>
      <c r="B91" s="15"/>
      <c r="C91" s="15"/>
      <c r="D91" s="25"/>
      <c r="E91" s="25"/>
      <c r="F91" s="15"/>
      <c r="G91" s="15"/>
      <c r="H91" s="15"/>
      <c r="I91" s="15"/>
      <c r="J91" s="15"/>
      <c r="K91" s="15"/>
      <c r="L91" s="15"/>
      <c r="M91" s="15"/>
      <c r="N91" s="15"/>
      <c r="O91" s="15"/>
      <c r="P91" s="22" t="str">
        <f aca="false">IF(AC91&gt;=Reference!$H$2, Reference!$G$2, IF(AC91&gt;=Reference!$H$3, Reference!$G$3, IF(AC91&gt;=Reference!$H$4, Reference!$G$4, IF(AC91&gt;=Reference!$H$5, Reference!$G$5, ""))))</f>
        <v/>
      </c>
      <c r="Q91" s="22" t="str">
        <f aca="false">IF(F91="Physical", "Very Low", IF(F91="Local", "Low", IF(F91="Adjacent", "Medium", IF(F91="Network", "High", ""))))</f>
        <v/>
      </c>
      <c r="R91" s="22" t="str">
        <f aca="false">IF(AE91&gt;=Reference!$D$2, Reference!$G$2, IF(AE91&gt;=Reference!$D$3, Reference!$E$3, IF(AE91&gt;=Reference!$D$4, Reference!$E$4, IF(AE91&gt;=Reference!$D$5, Reference!$E$5, ""))))</f>
        <v>Low</v>
      </c>
      <c r="S91" s="15"/>
      <c r="T91" s="15"/>
      <c r="U91" s="15"/>
      <c r="V91" s="15"/>
      <c r="W91" s="15"/>
      <c r="Y91" s="16" t="n">
        <f aca="false">IF(H91=Reference!$A$12, Reference!$C$12, IF(H91=Reference!$A$11, Reference!$C$11, IF(H91=Reference!$A$10, Reference!$C$10, IF(H91=Reference!$A$9, Reference!$C$9, 0))))</f>
        <v>0</v>
      </c>
      <c r="Z91" s="16" t="n">
        <f aca="false">IF(J91=Reference!$A$20, Reference!$C$20, IF(J91=Reference!$A$19, Reference!$C$19, IF(J91=Reference!$A$18, Reference!$C$18, IF(J91=Reference!$A$17, Reference!$C$17, 0))))</f>
        <v>0</v>
      </c>
      <c r="AA91" s="16" t="n">
        <f aca="false">IF(L91=Reference!$A$28, Reference!$C$28, IF(L91=Reference!$A$27, Reference!$C$27, IF(L91=Reference!$A$26, Reference!$C$26, IF(L91=Reference!$A$25, Reference!$C$25, 0))))</f>
        <v>0</v>
      </c>
      <c r="AB91" s="16" t="n">
        <f aca="false">IF(N91=Reference!$A$36, Reference!$C$36, IF(N91=Reference!$A$35, Reference!$C$35, IF(N91=Reference!$A$34, Reference!$C$34, IF(N91=Reference!$A$33, Reference!$C$33, 0))))</f>
        <v>0</v>
      </c>
      <c r="AC91" s="16" t="n">
        <f aca="false">(Reference!$B$2*Y91 + Reference!$B$3*AA91 + Reference!$B$4*Z91 + Reference!$B$5 * AB91)/4</f>
        <v>0</v>
      </c>
      <c r="AD91" s="16" t="n">
        <f aca="false">IF(Q91=Reference!$C$41, Reference!$D$41, IF(Q91=Reference!$C$42, Reference!$D$42, IF(Q91=Reference!$C$43, Reference!$D$43, IF(Q91=Reference!$C$44, Reference!$D$44, 0))))</f>
        <v>0</v>
      </c>
      <c r="AE91" s="16" t="n">
        <f aca="false">1 + (AC91 * AD91)</f>
        <v>1</v>
      </c>
    </row>
    <row r="92" customFormat="false" ht="12.75" hidden="false" customHeight="true" outlineLevel="0" collapsed="false">
      <c r="A92" s="24"/>
      <c r="B92" s="15"/>
      <c r="C92" s="15"/>
      <c r="D92" s="25"/>
      <c r="E92" s="25"/>
      <c r="F92" s="15"/>
      <c r="G92" s="15"/>
      <c r="H92" s="15"/>
      <c r="I92" s="15"/>
      <c r="J92" s="15"/>
      <c r="K92" s="26"/>
      <c r="L92" s="15"/>
      <c r="M92" s="15"/>
      <c r="N92" s="15"/>
      <c r="O92" s="15"/>
      <c r="P92" s="22" t="str">
        <f aca="false">IF(AC92&gt;=Reference!$H$2, Reference!$G$2, IF(AC92&gt;=Reference!$H$3, Reference!$G$3, IF(AC92&gt;=Reference!$H$4, Reference!$G$4, IF(AC92&gt;=Reference!$H$5, Reference!$G$5, ""))))</f>
        <v/>
      </c>
      <c r="Q92" s="22" t="str">
        <f aca="false">IF(F92="Physical", "Very Low", IF(F92="Local", "Low", IF(F92="Adjacent", "Medium", IF(F92="Network", "High", ""))))</f>
        <v/>
      </c>
      <c r="R92" s="22" t="str">
        <f aca="false">IF(AE92&gt;=Reference!$D$2, Reference!$G$2, IF(AE92&gt;=Reference!$D$3, Reference!$E$3, IF(AE92&gt;=Reference!$D$4, Reference!$E$4, IF(AE92&gt;=Reference!$D$5, Reference!$E$5, ""))))</f>
        <v>Low</v>
      </c>
      <c r="S92" s="27"/>
      <c r="T92" s="28"/>
      <c r="U92" s="15"/>
      <c r="V92" s="26"/>
      <c r="W92" s="15"/>
      <c r="Y92" s="16" t="n">
        <f aca="false">IF(H92=Reference!$A$12, Reference!$C$12, IF(H92=Reference!$A$11, Reference!$C$11, IF(H92=Reference!$A$10, Reference!$C$10, IF(H92=Reference!$A$9, Reference!$C$9, 0))))</f>
        <v>0</v>
      </c>
      <c r="Z92" s="16" t="n">
        <f aca="false">IF(J92=Reference!$A$20, Reference!$C$20, IF(J92=Reference!$A$19, Reference!$C$19, IF(J92=Reference!$A$18, Reference!$C$18, IF(J92=Reference!$A$17, Reference!$C$17, 0))))</f>
        <v>0</v>
      </c>
      <c r="AA92" s="16" t="n">
        <f aca="false">IF(L92=Reference!$A$28, Reference!$C$28, IF(L92=Reference!$A$27, Reference!$C$27, IF(L92=Reference!$A$26, Reference!$C$26, IF(L92=Reference!$A$25, Reference!$C$25, 0))))</f>
        <v>0</v>
      </c>
      <c r="AB92" s="16" t="n">
        <f aca="false">IF(N92=Reference!$A$36, Reference!$C$36, IF(N92=Reference!$A$35, Reference!$C$35, IF(N92=Reference!$A$34, Reference!$C$34, IF(N92=Reference!$A$33, Reference!$C$33, 0))))</f>
        <v>0</v>
      </c>
      <c r="AC92" s="16" t="n">
        <f aca="false">(Reference!$B$2*Y92 + Reference!$B$3*AA92 + Reference!$B$4*Z92 + Reference!$B$5 * AB92)/4</f>
        <v>0</v>
      </c>
      <c r="AD92" s="16" t="n">
        <f aca="false">IF(Q92=Reference!$C$41, Reference!$D$41, IF(Q92=Reference!$C$42, Reference!$D$42, IF(Q92=Reference!$C$43, Reference!$D$43, IF(Q92=Reference!$C$44, Reference!$D$44, 0))))</f>
        <v>0</v>
      </c>
      <c r="AE92" s="16" t="n">
        <f aca="false">1 + (AC92 * AD92)</f>
        <v>1</v>
      </c>
    </row>
    <row r="93" customFormat="false" ht="12.75" hidden="false" customHeight="true" outlineLevel="0" collapsed="false">
      <c r="A93" s="24"/>
      <c r="B93" s="15"/>
      <c r="C93" s="15"/>
      <c r="D93" s="25"/>
      <c r="E93" s="25"/>
      <c r="F93" s="15"/>
      <c r="G93" s="15"/>
      <c r="H93" s="15"/>
      <c r="I93" s="15"/>
      <c r="J93" s="15"/>
      <c r="K93" s="15"/>
      <c r="L93" s="15"/>
      <c r="M93" s="15"/>
      <c r="N93" s="15"/>
      <c r="O93" s="15"/>
      <c r="P93" s="22" t="str">
        <f aca="false">IF(AC93&gt;=Reference!$H$2, Reference!$G$2, IF(AC93&gt;=Reference!$H$3, Reference!$G$3, IF(AC93&gt;=Reference!$H$4, Reference!$G$4, IF(AC93&gt;=Reference!$H$5, Reference!$G$5, ""))))</f>
        <v/>
      </c>
      <c r="Q93" s="22" t="str">
        <f aca="false">IF(F93="Physical", "Very Low", IF(F93="Local", "Low", IF(F93="Adjacent", "Medium", IF(F93="Network", "High", ""))))</f>
        <v/>
      </c>
      <c r="R93" s="22" t="str">
        <f aca="false">IF(AE93&gt;=Reference!$D$2, Reference!$G$2, IF(AE93&gt;=Reference!$D$3, Reference!$E$3, IF(AE93&gt;=Reference!$D$4, Reference!$E$4, IF(AE93&gt;=Reference!$D$5, Reference!$E$5, ""))))</f>
        <v>Low</v>
      </c>
      <c r="S93" s="27"/>
      <c r="T93" s="28"/>
      <c r="U93" s="15"/>
      <c r="V93" s="15"/>
      <c r="W93" s="15"/>
      <c r="Y93" s="16" t="n">
        <f aca="false">IF(H93=Reference!$A$12, Reference!$C$12, IF(H93=Reference!$A$11, Reference!$C$11, IF(H93=Reference!$A$10, Reference!$C$10, IF(H93=Reference!$A$9, Reference!$C$9, 0))))</f>
        <v>0</v>
      </c>
      <c r="Z93" s="16" t="n">
        <f aca="false">IF(J93=Reference!$A$20, Reference!$C$20, IF(J93=Reference!$A$19, Reference!$C$19, IF(J93=Reference!$A$18, Reference!$C$18, IF(J93=Reference!$A$17, Reference!$C$17, 0))))</f>
        <v>0</v>
      </c>
      <c r="AA93" s="16" t="n">
        <f aca="false">IF(L93=Reference!$A$28, Reference!$C$28, IF(L93=Reference!$A$27, Reference!$C$27, IF(L93=Reference!$A$26, Reference!$C$26, IF(L93=Reference!$A$25, Reference!$C$25, 0))))</f>
        <v>0</v>
      </c>
      <c r="AB93" s="16" t="n">
        <f aca="false">IF(N93=Reference!$A$36, Reference!$C$36, IF(N93=Reference!$A$35, Reference!$C$35, IF(N93=Reference!$A$34, Reference!$C$34, IF(N93=Reference!$A$33, Reference!$C$33, 0))))</f>
        <v>0</v>
      </c>
      <c r="AC93" s="16" t="n">
        <f aca="false">(Reference!$B$2*Y93 + Reference!$B$3*AA93 + Reference!$B$4*Z93 + Reference!$B$5 * AB93)/4</f>
        <v>0</v>
      </c>
      <c r="AD93" s="16" t="n">
        <f aca="false">IF(Q93=Reference!$C$41, Reference!$D$41, IF(Q93=Reference!$C$42, Reference!$D$42, IF(Q93=Reference!$C$43, Reference!$D$43, IF(Q93=Reference!$C$44, Reference!$D$44, 0))))</f>
        <v>0</v>
      </c>
      <c r="AE93" s="16" t="n">
        <f aca="false">1 + (AC93 * AD93)</f>
        <v>1</v>
      </c>
    </row>
    <row r="94" customFormat="false" ht="12.75" hidden="false" customHeight="true" outlineLevel="0" collapsed="false">
      <c r="A94" s="24"/>
      <c r="B94" s="15"/>
      <c r="C94" s="15"/>
      <c r="D94" s="25"/>
      <c r="E94" s="31"/>
      <c r="F94" s="15"/>
      <c r="G94" s="15"/>
      <c r="H94" s="15"/>
      <c r="I94" s="26"/>
      <c r="J94" s="15"/>
      <c r="K94" s="26"/>
      <c r="L94" s="15"/>
      <c r="M94" s="26"/>
      <c r="N94" s="15"/>
      <c r="O94" s="26"/>
      <c r="P94" s="22" t="str">
        <f aca="false">IF(AC94&gt;=Reference!$H$2, Reference!$G$2, IF(AC94&gt;=Reference!$H$3, Reference!$G$3, IF(AC94&gt;=Reference!$H$4, Reference!$G$4, IF(AC94&gt;=Reference!$H$5, Reference!$G$5, ""))))</f>
        <v/>
      </c>
      <c r="Q94" s="22" t="str">
        <f aca="false">IF(F94="Physical", "Very Low", IF(F94="Local", "Low", IF(F94="Adjacent", "Medium", IF(F94="Network", "High", ""))))</f>
        <v/>
      </c>
      <c r="R94" s="22" t="str">
        <f aca="false">IF(AE94&gt;=Reference!$D$2, Reference!$G$2, IF(AE94&gt;=Reference!$D$3, Reference!$E$3, IF(AE94&gt;=Reference!$D$4, Reference!$E$4, IF(AE94&gt;=Reference!$D$5, Reference!$E$5, ""))))</f>
        <v>Low</v>
      </c>
      <c r="S94" s="27"/>
      <c r="T94" s="28"/>
      <c r="U94" s="15"/>
      <c r="V94" s="15"/>
      <c r="W94" s="15"/>
      <c r="Y94" s="16" t="n">
        <f aca="false">IF(H94=Reference!$A$12, Reference!$C$12, IF(H94=Reference!$A$11, Reference!$C$11, IF(H94=Reference!$A$10, Reference!$C$10, IF(H94=Reference!$A$9, Reference!$C$9, 0))))</f>
        <v>0</v>
      </c>
      <c r="Z94" s="16" t="n">
        <f aca="false">IF(J94=Reference!$A$20, Reference!$C$20, IF(J94=Reference!$A$19, Reference!$C$19, IF(J94=Reference!$A$18, Reference!$C$18, IF(J94=Reference!$A$17, Reference!$C$17, 0))))</f>
        <v>0</v>
      </c>
      <c r="AA94" s="16" t="n">
        <f aca="false">IF(L94=Reference!$A$28, Reference!$C$28, IF(L94=Reference!$A$27, Reference!$C$27, IF(L94=Reference!$A$26, Reference!$C$26, IF(L94=Reference!$A$25, Reference!$C$25, 0))))</f>
        <v>0</v>
      </c>
      <c r="AB94" s="16" t="n">
        <f aca="false">IF(N94=Reference!$A$36, Reference!$C$36, IF(N94=Reference!$A$35, Reference!$C$35, IF(N94=Reference!$A$34, Reference!$C$34, IF(N94=Reference!$A$33, Reference!$C$33, 0))))</f>
        <v>0</v>
      </c>
      <c r="AC94" s="16" t="n">
        <f aca="false">(Reference!$B$2*Y94 + Reference!$B$3*AA94 + Reference!$B$4*Z94 + Reference!$B$5 * AB94)/4</f>
        <v>0</v>
      </c>
      <c r="AD94" s="16" t="n">
        <f aca="false">IF(Q94=Reference!$C$41, Reference!$D$41, IF(Q94=Reference!$C$42, Reference!$D$42, IF(Q94=Reference!$C$43, Reference!$D$43, IF(Q94=Reference!$C$44, Reference!$D$44, 0))))</f>
        <v>0</v>
      </c>
      <c r="AE94" s="16" t="n">
        <f aca="false">1 + (AC94 * AD94)</f>
        <v>1</v>
      </c>
    </row>
    <row r="95" customFormat="false" ht="12.75" hidden="false" customHeight="true" outlineLevel="0" collapsed="false">
      <c r="A95" s="24"/>
      <c r="B95" s="15"/>
      <c r="C95" s="15"/>
      <c r="D95" s="25"/>
      <c r="E95" s="25"/>
      <c r="F95" s="15"/>
      <c r="H95" s="15"/>
      <c r="I95" s="15"/>
      <c r="J95" s="15"/>
      <c r="K95" s="15"/>
      <c r="L95" s="15"/>
      <c r="M95" s="15"/>
      <c r="N95" s="15"/>
      <c r="O95" s="15"/>
      <c r="P95" s="22" t="str">
        <f aca="false">IF(AC95&gt;=Reference!$H$2, Reference!$G$2, IF(AC95&gt;=Reference!$H$3, Reference!$G$3, IF(AC95&gt;=Reference!$H$4, Reference!$G$4, IF(AC95&gt;=Reference!$H$5, Reference!$G$5, ""))))</f>
        <v/>
      </c>
      <c r="Q95" s="22" t="str">
        <f aca="false">IF(F95="Physical", "Very Low", IF(F95="Local", "Low", IF(F95="Adjacent", "Medium", IF(F95="Network", "High", ""))))</f>
        <v/>
      </c>
      <c r="R95" s="22" t="str">
        <f aca="false">IF(AE95&gt;=Reference!$D$2, Reference!$G$2, IF(AE95&gt;=Reference!$D$3, Reference!$E$3, IF(AE95&gt;=Reference!$D$4, Reference!$E$4, IF(AE95&gt;=Reference!$D$5, Reference!$E$5, ""))))</f>
        <v>Low</v>
      </c>
      <c r="S95" s="27"/>
      <c r="T95" s="28"/>
      <c r="U95" s="15"/>
      <c r="V95" s="15"/>
      <c r="W95" s="15"/>
      <c r="Y95" s="16" t="n">
        <f aca="false">IF(H95=Reference!$A$12, Reference!$C$12, IF(H95=Reference!$A$11, Reference!$C$11, IF(H95=Reference!$A$10, Reference!$C$10, IF(H95=Reference!$A$9, Reference!$C$9, 0))))</f>
        <v>0</v>
      </c>
      <c r="Z95" s="16" t="n">
        <f aca="false">IF(J95=Reference!$A$20, Reference!$C$20, IF(J95=Reference!$A$19, Reference!$C$19, IF(J95=Reference!$A$18, Reference!$C$18, IF(J95=Reference!$A$17, Reference!$C$17, 0))))</f>
        <v>0</v>
      </c>
      <c r="AA95" s="16" t="n">
        <f aca="false">IF(L95=Reference!$A$28, Reference!$C$28, IF(L95=Reference!$A$27, Reference!$C$27, IF(L95=Reference!$A$26, Reference!$C$26, IF(L95=Reference!$A$25, Reference!$C$25, 0))))</f>
        <v>0</v>
      </c>
      <c r="AB95" s="16" t="n">
        <f aca="false">IF(N95=Reference!$A$36, Reference!$C$36, IF(N95=Reference!$A$35, Reference!$C$35, IF(N95=Reference!$A$34, Reference!$C$34, IF(N95=Reference!$A$33, Reference!$C$33, 0))))</f>
        <v>0</v>
      </c>
      <c r="AC95" s="16" t="n">
        <f aca="false">(Reference!$B$2*Y95 + Reference!$B$3*AA95 + Reference!$B$4*Z95 + Reference!$B$5 * AB95)/4</f>
        <v>0</v>
      </c>
      <c r="AD95" s="16" t="n">
        <f aca="false">IF(Q95=Reference!$C$41, Reference!$D$41, IF(Q95=Reference!$C$42, Reference!$D$42, IF(Q95=Reference!$C$43, Reference!$D$43, IF(Q95=Reference!$C$44, Reference!$D$44, 0))))</f>
        <v>0</v>
      </c>
      <c r="AE95" s="16" t="n">
        <f aca="false">1 + (AC95 * AD95)</f>
        <v>1</v>
      </c>
    </row>
    <row r="96" customFormat="false" ht="12.75" hidden="false" customHeight="true" outlineLevel="0" collapsed="false">
      <c r="A96" s="24"/>
      <c r="B96" s="15"/>
      <c r="C96" s="15"/>
      <c r="D96" s="31"/>
      <c r="E96" s="25"/>
      <c r="F96" s="15"/>
      <c r="G96" s="26"/>
      <c r="H96" s="15"/>
      <c r="I96" s="26"/>
      <c r="J96" s="15"/>
      <c r="K96" s="15"/>
      <c r="L96" s="15"/>
      <c r="M96" s="26"/>
      <c r="N96" s="15"/>
      <c r="O96" s="15"/>
      <c r="P96" s="22" t="str">
        <f aca="false">IF(AC96&gt;=Reference!$H$2, Reference!$G$2, IF(AC96&gt;=Reference!$H$3, Reference!$G$3, IF(AC96&gt;=Reference!$H$4, Reference!$G$4, IF(AC96&gt;=Reference!$H$5, Reference!$G$5, ""))))</f>
        <v/>
      </c>
      <c r="Q96" s="22" t="str">
        <f aca="false">IF(F96="Physical", "Very Low", IF(F96="Local", "Low", IF(F96="Adjacent", "Medium", IF(F96="Network", "High", ""))))</f>
        <v/>
      </c>
      <c r="R96" s="22" t="str">
        <f aca="false">IF(AE96&gt;=Reference!$D$2, Reference!$G$2, IF(AE96&gt;=Reference!$D$3, Reference!$E$3, IF(AE96&gt;=Reference!$D$4, Reference!$E$4, IF(AE96&gt;=Reference!$D$5, Reference!$E$5, ""))))</f>
        <v>Low</v>
      </c>
      <c r="S96" s="27"/>
      <c r="T96" s="38"/>
      <c r="U96" s="15"/>
      <c r="V96" s="26"/>
      <c r="W96" s="15"/>
      <c r="Y96" s="16" t="n">
        <f aca="false">IF(H96=Reference!$A$12, Reference!$C$12, IF(H96=Reference!$A$11, Reference!$C$11, IF(H96=Reference!$A$10, Reference!$C$10, IF(H96=Reference!$A$9, Reference!$C$9, 0))))</f>
        <v>0</v>
      </c>
      <c r="Z96" s="16" t="n">
        <f aca="false">IF(J96=Reference!$A$20, Reference!$C$20, IF(J96=Reference!$A$19, Reference!$C$19, IF(J96=Reference!$A$18, Reference!$C$18, IF(J96=Reference!$A$17, Reference!$C$17, 0))))</f>
        <v>0</v>
      </c>
      <c r="AA96" s="16" t="n">
        <f aca="false">IF(L96=Reference!$A$28, Reference!$C$28, IF(L96=Reference!$A$27, Reference!$C$27, IF(L96=Reference!$A$26, Reference!$C$26, IF(L96=Reference!$A$25, Reference!$C$25, 0))))</f>
        <v>0</v>
      </c>
      <c r="AB96" s="16" t="n">
        <f aca="false">IF(N96=Reference!$A$36, Reference!$C$36, IF(N96=Reference!$A$35, Reference!$C$35, IF(N96=Reference!$A$34, Reference!$C$34, IF(N96=Reference!$A$33, Reference!$C$33, 0))))</f>
        <v>0</v>
      </c>
      <c r="AC96" s="16" t="n">
        <f aca="false">(Reference!$B$2*Y96 + Reference!$B$3*AA96 + Reference!$B$4*Z96 + Reference!$B$5 * AB96)/4</f>
        <v>0</v>
      </c>
      <c r="AD96" s="16" t="n">
        <f aca="false">IF(Q96=Reference!$C$41, Reference!$D$41, IF(Q96=Reference!$C$42, Reference!$D$42, IF(Q96=Reference!$C$43, Reference!$D$43, IF(Q96=Reference!$C$44, Reference!$D$44, 0))))</f>
        <v>0</v>
      </c>
      <c r="AE96" s="16" t="n">
        <f aca="false">1 + (AC96 * AD96)</f>
        <v>1</v>
      </c>
    </row>
    <row r="97" customFormat="false" ht="12.75" hidden="false" customHeight="true" outlineLevel="0" collapsed="false">
      <c r="A97" s="24"/>
      <c r="B97" s="15"/>
      <c r="C97" s="15"/>
      <c r="D97" s="31"/>
      <c r="E97" s="25"/>
      <c r="F97" s="15"/>
      <c r="G97" s="15"/>
      <c r="H97" s="15"/>
      <c r="I97" s="33"/>
      <c r="J97" s="15"/>
      <c r="K97" s="26"/>
      <c r="L97" s="15"/>
      <c r="M97" s="26"/>
      <c r="N97" s="15"/>
      <c r="O97" s="39"/>
      <c r="P97" s="22" t="str">
        <f aca="false">IF(AC97&gt;=Reference!$H$2, Reference!$G$2, IF(AC97&gt;=Reference!$H$3, Reference!$G$3, IF(AC97&gt;=Reference!$H$4, Reference!$G$4, IF(AC97&gt;=Reference!$H$5, Reference!$G$5, ""))))</f>
        <v/>
      </c>
      <c r="Q97" s="22" t="str">
        <f aca="false">IF(F97="Physical", "Very Low", IF(F97="Local", "Low", IF(F97="Adjacent", "Medium", IF(F97="Network", "High", ""))))</f>
        <v/>
      </c>
      <c r="R97" s="22" t="str">
        <f aca="false">IF(AE97&gt;=Reference!$D$2, Reference!$G$2, IF(AE97&gt;=Reference!$D$3, Reference!$E$3, IF(AE97&gt;=Reference!$D$4, Reference!$E$4, IF(AE97&gt;=Reference!$D$5, Reference!$E$5, ""))))</f>
        <v>Low</v>
      </c>
      <c r="S97" s="27"/>
      <c r="T97" s="28"/>
      <c r="U97" s="15"/>
      <c r="V97" s="15"/>
      <c r="W97" s="15"/>
      <c r="Y97" s="16" t="n">
        <f aca="false">IF(H97=Reference!$A$12, Reference!$C$12, IF(H97=Reference!$A$11, Reference!$C$11, IF(H97=Reference!$A$10, Reference!$C$10, IF(H97=Reference!$A$9, Reference!$C$9, 0))))</f>
        <v>0</v>
      </c>
      <c r="Z97" s="16" t="n">
        <f aca="false">IF(J97=Reference!$A$20, Reference!$C$20, IF(J97=Reference!$A$19, Reference!$C$19, IF(J97=Reference!$A$18, Reference!$C$18, IF(J97=Reference!$A$17, Reference!$C$17, 0))))</f>
        <v>0</v>
      </c>
      <c r="AA97" s="16" t="n">
        <f aca="false">IF(L97=Reference!$A$28, Reference!$C$28, IF(L97=Reference!$A$27, Reference!$C$27, IF(L97=Reference!$A$26, Reference!$C$26, IF(L97=Reference!$A$25, Reference!$C$25, 0))))</f>
        <v>0</v>
      </c>
      <c r="AB97" s="16" t="n">
        <f aca="false">IF(N97=Reference!$A$36, Reference!$C$36, IF(N97=Reference!$A$35, Reference!$C$35, IF(N97=Reference!$A$34, Reference!$C$34, IF(N97=Reference!$A$33, Reference!$C$33, 0))))</f>
        <v>0</v>
      </c>
      <c r="AC97" s="16" t="n">
        <f aca="false">(Reference!$B$2*Y97 + Reference!$B$3*AA97 + Reference!$B$4*Z97 + Reference!$B$5 * AB97)/4</f>
        <v>0</v>
      </c>
      <c r="AD97" s="16" t="n">
        <f aca="false">IF(Q97=Reference!$C$41, Reference!$D$41, IF(Q97=Reference!$C$42, Reference!$D$42, IF(Q97=Reference!$C$43, Reference!$D$43, IF(Q97=Reference!$C$44, Reference!$D$44, 0))))</f>
        <v>0</v>
      </c>
      <c r="AE97" s="16" t="n">
        <f aca="false">1 + (AC97 * AD97)</f>
        <v>1</v>
      </c>
    </row>
    <row r="98" customFormat="false" ht="12.75" hidden="false" customHeight="true" outlineLevel="0" collapsed="false">
      <c r="A98" s="24"/>
      <c r="B98" s="15"/>
      <c r="C98" s="15"/>
      <c r="D98" s="25"/>
      <c r="E98" s="25"/>
      <c r="F98" s="15"/>
      <c r="G98" s="15"/>
      <c r="H98" s="15"/>
      <c r="I98" s="15"/>
      <c r="J98" s="15"/>
      <c r="K98" s="15"/>
      <c r="L98" s="15"/>
      <c r="M98" s="15"/>
      <c r="N98" s="15"/>
      <c r="O98" s="15"/>
      <c r="P98" s="22" t="str">
        <f aca="false">IF(AC98&gt;=Reference!$H$2, Reference!$G$2, IF(AC98&gt;=Reference!$H$3, Reference!$G$3, IF(AC98&gt;=Reference!$H$4, Reference!$G$4, IF(AC98&gt;=Reference!$H$5, Reference!$G$5, ""))))</f>
        <v/>
      </c>
      <c r="Q98" s="22" t="str">
        <f aca="false">IF(F98="Physical", "Very Low", IF(F98="Local", "Low", IF(F98="Adjacent", "Medium", IF(F98="Network", "High", ""))))</f>
        <v/>
      </c>
      <c r="R98" s="22" t="str">
        <f aca="false">IF(AE98&gt;=Reference!$D$2, Reference!$G$2, IF(AE98&gt;=Reference!$D$3, Reference!$E$3, IF(AE98&gt;=Reference!$D$4, Reference!$E$4, IF(AE98&gt;=Reference!$D$5, Reference!$E$5, ""))))</f>
        <v>Low</v>
      </c>
      <c r="S98" s="27"/>
      <c r="T98" s="28"/>
      <c r="U98" s="15"/>
      <c r="V98" s="15"/>
      <c r="W98" s="15"/>
      <c r="Y98" s="16" t="n">
        <f aca="false">IF(H98=Reference!$A$12, Reference!$C$12, IF(H98=Reference!$A$11, Reference!$C$11, IF(H98=Reference!$A$10, Reference!$C$10, IF(H98=Reference!$A$9, Reference!$C$9, 0))))</f>
        <v>0</v>
      </c>
      <c r="Z98" s="16" t="n">
        <f aca="false">IF(J98=Reference!$A$20, Reference!$C$20, IF(J98=Reference!$A$19, Reference!$C$19, IF(J98=Reference!$A$18, Reference!$C$18, IF(J98=Reference!$A$17, Reference!$C$17, 0))))</f>
        <v>0</v>
      </c>
      <c r="AA98" s="16" t="n">
        <f aca="false">IF(L98=Reference!$A$28, Reference!$C$28, IF(L98=Reference!$A$27, Reference!$C$27, IF(L98=Reference!$A$26, Reference!$C$26, IF(L98=Reference!$A$25, Reference!$C$25, 0))))</f>
        <v>0</v>
      </c>
      <c r="AB98" s="16" t="n">
        <f aca="false">IF(N98=Reference!$A$36, Reference!$C$36, IF(N98=Reference!$A$35, Reference!$C$35, IF(N98=Reference!$A$34, Reference!$C$34, IF(N98=Reference!$A$33, Reference!$C$33, 0))))</f>
        <v>0</v>
      </c>
      <c r="AC98" s="16" t="n">
        <f aca="false">(Reference!$B$2*Y98 + Reference!$B$3*AA98 + Reference!$B$4*Z98 + Reference!$B$5 * AB98)/4</f>
        <v>0</v>
      </c>
      <c r="AD98" s="16" t="n">
        <f aca="false">IF(Q98=Reference!$C$41, Reference!$D$41, IF(Q98=Reference!$C$42, Reference!$D$42, IF(Q98=Reference!$C$43, Reference!$D$43, IF(Q98=Reference!$C$44, Reference!$D$44, 0))))</f>
        <v>0</v>
      </c>
      <c r="AE98" s="16" t="n">
        <f aca="false">1 + (AC98 * AD98)</f>
        <v>1</v>
      </c>
    </row>
    <row r="99" customFormat="false" ht="12.75" hidden="false" customHeight="true" outlineLevel="0" collapsed="false">
      <c r="A99" s="24"/>
      <c r="B99" s="15"/>
      <c r="C99" s="15"/>
      <c r="D99" s="25"/>
      <c r="E99" s="25"/>
      <c r="F99" s="15"/>
      <c r="G99" s="15"/>
      <c r="H99" s="15"/>
      <c r="I99" s="15"/>
      <c r="J99" s="15"/>
      <c r="K99" s="15"/>
      <c r="L99" s="15"/>
      <c r="M99" s="15"/>
      <c r="N99" s="15"/>
      <c r="O99" s="15"/>
      <c r="P99" s="22" t="str">
        <f aca="false">IF(AC99&gt;=Reference!$H$2, Reference!$G$2, IF(AC99&gt;=Reference!$H$3, Reference!$G$3, IF(AC99&gt;=Reference!$H$4, Reference!$G$4, IF(AC99&gt;=Reference!$H$5, Reference!$G$5, ""))))</f>
        <v/>
      </c>
      <c r="Q99" s="22" t="str">
        <f aca="false">IF(F99="Physical", "Very Low", IF(F99="Local", "Low", IF(F99="Adjacent", "Medium", IF(F99="Network", "High", ""))))</f>
        <v/>
      </c>
      <c r="R99" s="22" t="str">
        <f aca="false">IF(AE99&gt;=Reference!$D$2, Reference!$G$2, IF(AE99&gt;=Reference!$D$3, Reference!$E$3, IF(AE99&gt;=Reference!$D$4, Reference!$E$4, IF(AE99&gt;=Reference!$D$5, Reference!$E$5, ""))))</f>
        <v>Low</v>
      </c>
      <c r="S99" s="27"/>
      <c r="T99" s="28"/>
      <c r="U99" s="15"/>
      <c r="V99" s="15"/>
      <c r="W99" s="15"/>
      <c r="Y99" s="16" t="n">
        <f aca="false">IF(H99=Reference!$A$12, Reference!$C$12, IF(H99=Reference!$A$11, Reference!$C$11, IF(H99=Reference!$A$10, Reference!$C$10, IF(H99=Reference!$A$9, Reference!$C$9, 0))))</f>
        <v>0</v>
      </c>
      <c r="Z99" s="16" t="n">
        <f aca="false">IF(J99=Reference!$A$20, Reference!$C$20, IF(J99=Reference!$A$19, Reference!$C$19, IF(J99=Reference!$A$18, Reference!$C$18, IF(J99=Reference!$A$17, Reference!$C$17, 0))))</f>
        <v>0</v>
      </c>
      <c r="AA99" s="16" t="n">
        <f aca="false">IF(L99=Reference!$A$28, Reference!$C$28, IF(L99=Reference!$A$27, Reference!$C$27, IF(L99=Reference!$A$26, Reference!$C$26, IF(L99=Reference!$A$25, Reference!$C$25, 0))))</f>
        <v>0</v>
      </c>
      <c r="AB99" s="16" t="n">
        <f aca="false">IF(N99=Reference!$A$36, Reference!$C$36, IF(N99=Reference!$A$35, Reference!$C$35, IF(N99=Reference!$A$34, Reference!$C$34, IF(N99=Reference!$A$33, Reference!$C$33, 0))))</f>
        <v>0</v>
      </c>
      <c r="AC99" s="16" t="n">
        <f aca="false">(Reference!$B$2*Y99 + Reference!$B$3*AA99 + Reference!$B$4*Z99 + Reference!$B$5 * AB99)/4</f>
        <v>0</v>
      </c>
      <c r="AD99" s="16" t="n">
        <f aca="false">IF(Q99=Reference!$C$41, Reference!$D$41, IF(Q99=Reference!$C$42, Reference!$D$42, IF(Q99=Reference!$C$43, Reference!$D$43, IF(Q99=Reference!$C$44, Reference!$D$44, 0))))</f>
        <v>0</v>
      </c>
      <c r="AE99" s="16" t="n">
        <f aca="false">1 + (AC99 * AD99)</f>
        <v>1</v>
      </c>
    </row>
    <row r="100" customFormat="false" ht="12.75" hidden="false" customHeight="true" outlineLevel="0" collapsed="false">
      <c r="A100" s="24"/>
      <c r="B100" s="15"/>
      <c r="C100" s="15"/>
      <c r="D100" s="25"/>
      <c r="E100" s="25"/>
      <c r="F100" s="15"/>
      <c r="G100" s="15"/>
      <c r="H100" s="15"/>
      <c r="I100" s="15"/>
      <c r="J100" s="15"/>
      <c r="K100" s="15"/>
      <c r="L100" s="15"/>
      <c r="M100" s="15"/>
      <c r="N100" s="15"/>
      <c r="O100" s="15"/>
      <c r="P100" s="22" t="str">
        <f aca="false">IF(AC100&gt;=Reference!$H$2, Reference!$G$2, IF(AC100&gt;=Reference!$H$3, Reference!$G$3, IF(AC100&gt;=Reference!$H$4, Reference!$G$4, IF(AC100&gt;=Reference!$H$5, Reference!$G$5, ""))))</f>
        <v/>
      </c>
      <c r="Q100" s="22" t="str">
        <f aca="false">IF(F100="Physical", "Very Low", IF(F100="Local", "Low", IF(F100="Adjacent", "Medium", IF(F100="Network", "High", ""))))</f>
        <v/>
      </c>
      <c r="R100" s="22" t="str">
        <f aca="false">IF(AE100&gt;=Reference!$D$2, Reference!$G$2, IF(AE100&gt;=Reference!$D$3, Reference!$E$3, IF(AE100&gt;=Reference!$D$4, Reference!$E$4, IF(AE100&gt;=Reference!$D$5, Reference!$E$5, ""))))</f>
        <v>Low</v>
      </c>
      <c r="S100" s="27"/>
      <c r="T100" s="28"/>
      <c r="U100" s="15"/>
      <c r="V100" s="15"/>
      <c r="W100" s="15"/>
      <c r="Y100" s="16" t="n">
        <f aca="false">IF(H100=Reference!$A$12, Reference!$C$12, IF(H100=Reference!$A$11, Reference!$C$11, IF(H100=Reference!$A$10, Reference!$C$10, IF(H100=Reference!$A$9, Reference!$C$9, 0))))</f>
        <v>0</v>
      </c>
      <c r="Z100" s="16" t="n">
        <f aca="false">IF(J100=Reference!$A$20, Reference!$C$20, IF(J100=Reference!$A$19, Reference!$C$19, IF(J100=Reference!$A$18, Reference!$C$18, IF(J100=Reference!$A$17, Reference!$C$17, 0))))</f>
        <v>0</v>
      </c>
      <c r="AA100" s="16" t="n">
        <f aca="false">IF(L100=Reference!$A$28, Reference!$C$28, IF(L100=Reference!$A$27, Reference!$C$27, IF(L100=Reference!$A$26, Reference!$C$26, IF(L100=Reference!$A$25, Reference!$C$25, 0))))</f>
        <v>0</v>
      </c>
      <c r="AB100" s="16" t="n">
        <f aca="false">IF(N100=Reference!$A$36, Reference!$C$36, IF(N100=Reference!$A$35, Reference!$C$35, IF(N100=Reference!$A$34, Reference!$C$34, IF(N100=Reference!$A$33, Reference!$C$33, 0))))</f>
        <v>0</v>
      </c>
      <c r="AC100" s="16" t="n">
        <f aca="false">(Reference!$B$2*Y100 + Reference!$B$3*AA100 + Reference!$B$4*Z100 + Reference!$B$5 * AB100)/4</f>
        <v>0</v>
      </c>
      <c r="AD100" s="16" t="n">
        <f aca="false">IF(Q100=Reference!$C$41, Reference!$D$41, IF(Q100=Reference!$C$42, Reference!$D$42, IF(Q100=Reference!$C$43, Reference!$D$43, IF(Q100=Reference!$C$44, Reference!$D$44, 0))))</f>
        <v>0</v>
      </c>
      <c r="AE100" s="16" t="n">
        <f aca="false">1 + (AC100 * AD100)</f>
        <v>1</v>
      </c>
    </row>
    <row r="101" customFormat="false" ht="12.75" hidden="false" customHeight="true" outlineLevel="0" collapsed="false">
      <c r="A101" s="24"/>
      <c r="B101" s="15"/>
      <c r="C101" s="15"/>
      <c r="D101" s="25"/>
      <c r="E101" s="25"/>
      <c r="F101" s="15"/>
      <c r="G101" s="15"/>
      <c r="H101" s="15"/>
      <c r="I101" s="15"/>
      <c r="J101" s="15"/>
      <c r="K101" s="15"/>
      <c r="L101" s="15"/>
      <c r="M101" s="15"/>
      <c r="N101" s="15"/>
      <c r="O101" s="15"/>
      <c r="P101" s="22" t="str">
        <f aca="false">IF(AC101&gt;=Reference!$H$2, Reference!$G$2, IF(AC101&gt;=Reference!$H$3, Reference!$G$3, IF(AC101&gt;=Reference!$H$4, Reference!$G$4, IF(AC101&gt;=Reference!$H$5, Reference!$G$5, ""))))</f>
        <v/>
      </c>
      <c r="Q101" s="22" t="str">
        <f aca="false">IF(F101="Physical", "Very Low", IF(F101="Local", "Low", IF(F101="Adjacent", "Medium", IF(F101="Network", "High", ""))))</f>
        <v/>
      </c>
      <c r="R101" s="22" t="str">
        <f aca="false">IF(AE101&gt;=Reference!$D$2, Reference!$G$2, IF(AE101&gt;=Reference!$D$3, Reference!$E$3, IF(AE101&gt;=Reference!$D$4, Reference!$E$4, IF(AE101&gt;=Reference!$D$5, Reference!$E$5, ""))))</f>
        <v>Low</v>
      </c>
      <c r="S101" s="27"/>
      <c r="T101" s="28"/>
      <c r="U101" s="15"/>
      <c r="V101" s="15"/>
      <c r="W101" s="15"/>
      <c r="Y101" s="16" t="n">
        <f aca="false">IF(H101=Reference!$A$12, Reference!$C$12, IF(H101=Reference!$A$11, Reference!$C$11, IF(H101=Reference!$A$10, Reference!$C$10, IF(H101=Reference!$A$9, Reference!$C$9, 0))))</f>
        <v>0</v>
      </c>
      <c r="Z101" s="16" t="n">
        <f aca="false">IF(J101=Reference!$A$20, Reference!$C$20, IF(J101=Reference!$A$19, Reference!$C$19, IF(J101=Reference!$A$18, Reference!$C$18, IF(J101=Reference!$A$17, Reference!$C$17, 0))))</f>
        <v>0</v>
      </c>
      <c r="AA101" s="16" t="n">
        <f aca="false">IF(L101=Reference!$A$28, Reference!$C$28, IF(L101=Reference!$A$27, Reference!$C$27, IF(L101=Reference!$A$26, Reference!$C$26, IF(L101=Reference!$A$25, Reference!$C$25, 0))))</f>
        <v>0</v>
      </c>
      <c r="AB101" s="16" t="n">
        <f aca="false">IF(N101=Reference!$A$36, Reference!$C$36, IF(N101=Reference!$A$35, Reference!$C$35, IF(N101=Reference!$A$34, Reference!$C$34, IF(N101=Reference!$A$33, Reference!$C$33, 0))))</f>
        <v>0</v>
      </c>
      <c r="AC101" s="16" t="n">
        <f aca="false">(Reference!$B$2*Y101 + Reference!$B$3*AA101 + Reference!$B$4*Z101 + Reference!$B$5 * AB101)/4</f>
        <v>0</v>
      </c>
      <c r="AD101" s="16" t="n">
        <f aca="false">IF(Q101=Reference!$C$41, Reference!$D$41, IF(Q101=Reference!$C$42, Reference!$D$42, IF(Q101=Reference!$C$43, Reference!$D$43, IF(Q101=Reference!$C$44, Reference!$D$44, 0))))</f>
        <v>0</v>
      </c>
      <c r="AE101" s="16" t="n">
        <f aca="false">1 + (AC101 * AD101)</f>
        <v>1</v>
      </c>
    </row>
    <row r="102" customFormat="false" ht="12.75" hidden="false" customHeight="true" outlineLevel="0" collapsed="false">
      <c r="A102" s="24"/>
      <c r="B102" s="15"/>
      <c r="C102" s="15"/>
      <c r="D102" s="25"/>
      <c r="E102" s="25"/>
      <c r="F102" s="15"/>
      <c r="G102" s="15"/>
      <c r="H102" s="15"/>
      <c r="I102" s="34"/>
      <c r="J102" s="15"/>
      <c r="K102" s="15"/>
      <c r="L102" s="15"/>
      <c r="M102" s="15"/>
      <c r="N102" s="15"/>
      <c r="O102" s="15"/>
      <c r="P102" s="22" t="str">
        <f aca="false">IF(AC102&gt;=Reference!$H$2, Reference!$G$2, IF(AC102&gt;=Reference!$H$3, Reference!$G$3, IF(AC102&gt;=Reference!$H$4, Reference!$G$4, IF(AC102&gt;=Reference!$H$5, Reference!$G$5, ""))))</f>
        <v/>
      </c>
      <c r="Q102" s="22" t="str">
        <f aca="false">IF(F102="Physical", "Very Low", IF(F102="Local", "Low", IF(F102="Adjacent", "Medium", IF(F102="Network", "High", ""))))</f>
        <v/>
      </c>
      <c r="R102" s="22" t="str">
        <f aca="false">IF(AE102&gt;=Reference!$D$2, Reference!$G$2, IF(AE102&gt;=Reference!$D$3, Reference!$E$3, IF(AE102&gt;=Reference!$D$4, Reference!$E$4, IF(AE102&gt;=Reference!$D$5, Reference!$E$5, ""))))</f>
        <v>Low</v>
      </c>
      <c r="S102" s="27"/>
      <c r="T102" s="28"/>
      <c r="U102" s="15"/>
      <c r="V102" s="15"/>
      <c r="W102" s="15"/>
      <c r="Y102" s="16" t="n">
        <f aca="false">IF(H102=Reference!$A$12, Reference!$C$12, IF(H102=Reference!$A$11, Reference!$C$11, IF(H102=Reference!$A$10, Reference!$C$10, IF(H102=Reference!$A$9, Reference!$C$9, 0))))</f>
        <v>0</v>
      </c>
      <c r="Z102" s="16" t="n">
        <f aca="false">IF(J102=Reference!$A$20, Reference!$C$20, IF(J102=Reference!$A$19, Reference!$C$19, IF(J102=Reference!$A$18, Reference!$C$18, IF(J102=Reference!$A$17, Reference!$C$17, 0))))</f>
        <v>0</v>
      </c>
      <c r="AA102" s="16" t="n">
        <f aca="false">IF(L102=Reference!$A$28, Reference!$C$28, IF(L102=Reference!$A$27, Reference!$C$27, IF(L102=Reference!$A$26, Reference!$C$26, IF(L102=Reference!$A$25, Reference!$C$25, 0))))</f>
        <v>0</v>
      </c>
      <c r="AB102" s="16" t="n">
        <f aca="false">IF(N102=Reference!$A$36, Reference!$C$36, IF(N102=Reference!$A$35, Reference!$C$35, IF(N102=Reference!$A$34, Reference!$C$34, IF(N102=Reference!$A$33, Reference!$C$33, 0))))</f>
        <v>0</v>
      </c>
      <c r="AC102" s="16" t="n">
        <f aca="false">(Reference!$B$2*Y102 + Reference!$B$3*AA102 + Reference!$B$4*Z102 + Reference!$B$5 * AB102)/4</f>
        <v>0</v>
      </c>
      <c r="AD102" s="16" t="n">
        <f aca="false">IF(Q102=Reference!$C$41, Reference!$D$41, IF(Q102=Reference!$C$42, Reference!$D$42, IF(Q102=Reference!$C$43, Reference!$D$43, IF(Q102=Reference!$C$44, Reference!$D$44, 0))))</f>
        <v>0</v>
      </c>
      <c r="AE102" s="16" t="n">
        <f aca="false">1 + (AC102 * AD102)</f>
        <v>1</v>
      </c>
    </row>
    <row r="103" customFormat="false" ht="12.75" hidden="false" customHeight="true" outlineLevel="0" collapsed="false">
      <c r="A103" s="24"/>
      <c r="B103" s="15"/>
      <c r="C103" s="15"/>
      <c r="D103" s="25"/>
      <c r="E103" s="31"/>
      <c r="F103" s="15"/>
      <c r="G103" s="15"/>
      <c r="H103" s="15"/>
      <c r="I103" s="26"/>
      <c r="J103" s="15"/>
      <c r="K103" s="26"/>
      <c r="L103" s="15"/>
      <c r="M103" s="26"/>
      <c r="N103" s="15"/>
      <c r="O103" s="26"/>
      <c r="P103" s="22" t="str">
        <f aca="false">IF(AC103&gt;=Reference!$H$2, Reference!$G$2, IF(AC103&gt;=Reference!$H$3, Reference!$G$3, IF(AC103&gt;=Reference!$H$4, Reference!$G$4, IF(AC103&gt;=Reference!$H$5, Reference!$G$5, ""))))</f>
        <v/>
      </c>
      <c r="Q103" s="22" t="str">
        <f aca="false">IF(F103="Physical", "Very Low", IF(F103="Local", "Low", IF(F103="Adjacent", "Medium", IF(F103="Network", "High", ""))))</f>
        <v/>
      </c>
      <c r="R103" s="22" t="str">
        <f aca="false">IF(AE103&gt;=Reference!$D$2, Reference!$G$2, IF(AE103&gt;=Reference!$D$3, Reference!$E$3, IF(AE103&gt;=Reference!$D$4, Reference!$E$4, IF(AE103&gt;=Reference!$D$5, Reference!$E$5, ""))))</f>
        <v>Low</v>
      </c>
      <c r="S103" s="27"/>
      <c r="T103" s="28"/>
      <c r="U103" s="26"/>
      <c r="V103" s="26"/>
      <c r="W103" s="15"/>
      <c r="Y103" s="16" t="n">
        <f aca="false">IF(H103=Reference!$A$12, Reference!$C$12, IF(H103=Reference!$A$11, Reference!$C$11, IF(H103=Reference!$A$10, Reference!$C$10, IF(H103=Reference!$A$9, Reference!$C$9, 0))))</f>
        <v>0</v>
      </c>
      <c r="Z103" s="16" t="n">
        <f aca="false">IF(J103=Reference!$A$20, Reference!$C$20, IF(J103=Reference!$A$19, Reference!$C$19, IF(J103=Reference!$A$18, Reference!$C$18, IF(J103=Reference!$A$17, Reference!$C$17, 0))))</f>
        <v>0</v>
      </c>
      <c r="AA103" s="16" t="n">
        <f aca="false">IF(L103=Reference!$A$28, Reference!$C$28, IF(L103=Reference!$A$27, Reference!$C$27, IF(L103=Reference!$A$26, Reference!$C$26, IF(L103=Reference!$A$25, Reference!$C$25, 0))))</f>
        <v>0</v>
      </c>
      <c r="AB103" s="16" t="n">
        <f aca="false">IF(N103=Reference!$A$36, Reference!$C$36, IF(N103=Reference!$A$35, Reference!$C$35, IF(N103=Reference!$A$34, Reference!$C$34, IF(N103=Reference!$A$33, Reference!$C$33, 0))))</f>
        <v>0</v>
      </c>
      <c r="AC103" s="16" t="n">
        <f aca="false">(Reference!$B$2*Y103 + Reference!$B$3*AA103 + Reference!$B$4*Z103 + Reference!$B$5 * AB103)/4</f>
        <v>0</v>
      </c>
      <c r="AD103" s="16" t="n">
        <f aca="false">IF(Q103=Reference!$C$41, Reference!$D$41, IF(Q103=Reference!$C$42, Reference!$D$42, IF(Q103=Reference!$C$43, Reference!$D$43, IF(Q103=Reference!$C$44, Reference!$D$44, 0))))</f>
        <v>0</v>
      </c>
      <c r="AE103" s="16" t="n">
        <f aca="false">1 + (AC103 * AD103)</f>
        <v>1</v>
      </c>
    </row>
    <row r="104" customFormat="false" ht="12.75" hidden="false" customHeight="true" outlineLevel="0" collapsed="false">
      <c r="A104" s="24"/>
      <c r="B104" s="15"/>
      <c r="C104" s="15"/>
      <c r="D104" s="25"/>
      <c r="E104" s="25"/>
      <c r="F104" s="15"/>
      <c r="G104" s="15"/>
      <c r="H104" s="15"/>
      <c r="I104" s="15"/>
      <c r="J104" s="15"/>
      <c r="K104" s="15"/>
      <c r="L104" s="15"/>
      <c r="M104" s="15"/>
      <c r="N104" s="15"/>
      <c r="O104" s="15"/>
      <c r="P104" s="22" t="str">
        <f aca="false">IF(AC104&gt;=Reference!$H$2, Reference!$G$2, IF(AC104&gt;=Reference!$H$3, Reference!$G$3, IF(AC104&gt;=Reference!$H$4, Reference!$G$4, IF(AC104&gt;=Reference!$H$5, Reference!$G$5, ""))))</f>
        <v/>
      </c>
      <c r="Q104" s="22" t="str">
        <f aca="false">IF(F104="Physical", "Very Low", IF(F104="Local", "Low", IF(F104="Adjacent", "Medium", IF(F104="Network", "High", ""))))</f>
        <v/>
      </c>
      <c r="R104" s="22" t="str">
        <f aca="false">IF(AE104&gt;=Reference!$D$2, Reference!$G$2, IF(AE104&gt;=Reference!$D$3, Reference!$E$3, IF(AE104&gt;=Reference!$D$4, Reference!$E$4, IF(AE104&gt;=Reference!$D$5, Reference!$E$5, ""))))</f>
        <v>Low</v>
      </c>
      <c r="S104" s="27"/>
      <c r="T104" s="28"/>
      <c r="U104" s="15"/>
      <c r="V104" s="15"/>
      <c r="W104" s="15"/>
      <c r="X104" s="23"/>
      <c r="Y104" s="16" t="n">
        <f aca="false">IF(H104=Reference!$A$12, Reference!$C$12, IF(H104=Reference!$A$11, Reference!$C$11, IF(H104=Reference!$A$10, Reference!$C$10, IF(H104=Reference!$A$9, Reference!$C$9, 0))))</f>
        <v>0</v>
      </c>
      <c r="Z104" s="16" t="n">
        <f aca="false">IF(J104=Reference!$A$20, Reference!$C$20, IF(J104=Reference!$A$19, Reference!$C$19, IF(J104=Reference!$A$18, Reference!$C$18, IF(J104=Reference!$A$17, Reference!$C$17, 0))))</f>
        <v>0</v>
      </c>
      <c r="AA104" s="16" t="n">
        <f aca="false">IF(L104=Reference!$A$28, Reference!$C$28, IF(L104=Reference!$A$27, Reference!$C$27, IF(L104=Reference!$A$26, Reference!$C$26, IF(L104=Reference!$A$25, Reference!$C$25, 0))))</f>
        <v>0</v>
      </c>
      <c r="AB104" s="16" t="n">
        <f aca="false">IF(N104=Reference!$A$36, Reference!$C$36, IF(N104=Reference!$A$35, Reference!$C$35, IF(N104=Reference!$A$34, Reference!$C$34, IF(N104=Reference!$A$33, Reference!$C$33, 0))))</f>
        <v>0</v>
      </c>
      <c r="AC104" s="16" t="n">
        <f aca="false">(Reference!$B$2*Y104 + Reference!$B$3*AA104 + Reference!$B$4*Z104 + Reference!$B$5 * AB104)/4</f>
        <v>0</v>
      </c>
      <c r="AD104" s="16" t="n">
        <f aca="false">IF(Q104=Reference!$C$41, Reference!$D$41, IF(Q104=Reference!$C$42, Reference!$D$42, IF(Q104=Reference!$C$43, Reference!$D$43, IF(Q104=Reference!$C$44, Reference!$D$44, 0))))</f>
        <v>0</v>
      </c>
      <c r="AE104" s="16" t="n">
        <f aca="false">1 + (AC104 * AD104)</f>
        <v>1</v>
      </c>
    </row>
    <row r="105" customFormat="false" ht="12.75" hidden="false" customHeight="true" outlineLevel="0" collapsed="false">
      <c r="A105" s="24"/>
      <c r="B105" s="15"/>
      <c r="C105" s="15"/>
      <c r="D105" s="25"/>
      <c r="E105" s="31"/>
      <c r="F105" s="15"/>
      <c r="G105" s="15"/>
      <c r="H105" s="15"/>
      <c r="I105" s="26"/>
      <c r="J105" s="15"/>
      <c r="K105" s="26"/>
      <c r="L105" s="15"/>
      <c r="M105" s="26"/>
      <c r="N105" s="15"/>
      <c r="O105" s="26"/>
      <c r="P105" s="22" t="str">
        <f aca="false">IF(AC105&gt;=Reference!$H$2, Reference!$G$2, IF(AC105&gt;=Reference!$H$3, Reference!$G$3, IF(AC105&gt;=Reference!$H$4, Reference!$G$4, IF(AC105&gt;=Reference!$H$5, Reference!$G$5, ""))))</f>
        <v/>
      </c>
      <c r="Q105" s="22" t="str">
        <f aca="false">IF(F105="Physical", "Very Low", IF(F105="Local", "Low", IF(F105="Adjacent", "Medium", IF(F105="Network", "High", ""))))</f>
        <v/>
      </c>
      <c r="R105" s="22" t="str">
        <f aca="false">IF(AE105&gt;=Reference!$D$2, Reference!$G$2, IF(AE105&gt;=Reference!$D$3, Reference!$E$3, IF(AE105&gt;=Reference!$D$4, Reference!$E$4, IF(AE105&gt;=Reference!$D$5, Reference!$E$5, ""))))</f>
        <v>Low</v>
      </c>
      <c r="S105" s="27"/>
      <c r="T105" s="28"/>
      <c r="U105" s="26"/>
      <c r="V105" s="26"/>
      <c r="W105" s="15"/>
      <c r="Y105" s="16" t="n">
        <f aca="false">IF(H105=Reference!$A$12, Reference!$C$12, IF(H105=Reference!$A$11, Reference!$C$11, IF(H105=Reference!$A$10, Reference!$C$10, IF(H105=Reference!$A$9, Reference!$C$9, 0))))</f>
        <v>0</v>
      </c>
      <c r="Z105" s="16" t="n">
        <f aca="false">IF(J105=Reference!$A$20, Reference!$C$20, IF(J105=Reference!$A$19, Reference!$C$19, IF(J105=Reference!$A$18, Reference!$C$18, IF(J105=Reference!$A$17, Reference!$C$17, 0))))</f>
        <v>0</v>
      </c>
      <c r="AA105" s="16" t="n">
        <f aca="false">IF(L105=Reference!$A$28, Reference!$C$28, IF(L105=Reference!$A$27, Reference!$C$27, IF(L105=Reference!$A$26, Reference!$C$26, IF(L105=Reference!$A$25, Reference!$C$25, 0))))</f>
        <v>0</v>
      </c>
      <c r="AB105" s="16" t="n">
        <f aca="false">IF(N105=Reference!$A$36, Reference!$C$36, IF(N105=Reference!$A$35, Reference!$C$35, IF(N105=Reference!$A$34, Reference!$C$34, IF(N105=Reference!$A$33, Reference!$C$33, 0))))</f>
        <v>0</v>
      </c>
      <c r="AC105" s="16" t="n">
        <f aca="false">(Reference!$B$2*Y105 + Reference!$B$3*AA105 + Reference!$B$4*Z105 + Reference!$B$5 * AB105)/4</f>
        <v>0</v>
      </c>
      <c r="AD105" s="16" t="n">
        <f aca="false">IF(Q105=Reference!$C$41, Reference!$D$41, IF(Q105=Reference!$C$42, Reference!$D$42, IF(Q105=Reference!$C$43, Reference!$D$43, IF(Q105=Reference!$C$44, Reference!$D$44, 0))))</f>
        <v>0</v>
      </c>
      <c r="AE105" s="16" t="n">
        <f aca="false">1 + (AC105 * AD105)</f>
        <v>1</v>
      </c>
    </row>
    <row r="106" customFormat="false" ht="12.75" hidden="false" customHeight="true" outlineLevel="0" collapsed="false">
      <c r="A106" s="24"/>
      <c r="B106" s="15"/>
      <c r="C106" s="15"/>
      <c r="D106" s="25"/>
      <c r="E106" s="25"/>
      <c r="F106" s="15"/>
      <c r="G106" s="15"/>
      <c r="H106" s="15"/>
      <c r="I106" s="15"/>
      <c r="J106" s="15"/>
      <c r="K106" s="15"/>
      <c r="L106" s="15"/>
      <c r="M106" s="15"/>
      <c r="N106" s="15"/>
      <c r="O106" s="15"/>
      <c r="P106" s="22" t="str">
        <f aca="false">IF(AC106&gt;=Reference!$H$2, Reference!$G$2, IF(AC106&gt;=Reference!$H$3, Reference!$G$3, IF(AC106&gt;=Reference!$H$4, Reference!$G$4, IF(AC106&gt;=Reference!$H$5, Reference!$G$5, ""))))</f>
        <v/>
      </c>
      <c r="Q106" s="22" t="str">
        <f aca="false">IF(F106="Physical", "Very Low", IF(F106="Local", "Low", IF(F106="Adjacent", "Medium", IF(F106="Network", "High", ""))))</f>
        <v/>
      </c>
      <c r="R106" s="22" t="str">
        <f aca="false">IF(AE106&gt;=Reference!$D$2, Reference!$G$2, IF(AE106&gt;=Reference!$D$3, Reference!$E$3, IF(AE106&gt;=Reference!$D$4, Reference!$E$4, IF(AE106&gt;=Reference!$D$5, Reference!$E$5, ""))))</f>
        <v>Low</v>
      </c>
      <c r="S106" s="27"/>
      <c r="T106" s="28"/>
      <c r="U106" s="15"/>
      <c r="V106" s="15"/>
      <c r="W106" s="15"/>
      <c r="Y106" s="16" t="n">
        <f aca="false">IF(H106=Reference!$A$12, Reference!$C$12, IF(H106=Reference!$A$11, Reference!$C$11, IF(H106=Reference!$A$10, Reference!$C$10, IF(H106=Reference!$A$9, Reference!$C$9, 0))))</f>
        <v>0</v>
      </c>
      <c r="Z106" s="16" t="n">
        <f aca="false">IF(J106=Reference!$A$20, Reference!$C$20, IF(J106=Reference!$A$19, Reference!$C$19, IF(J106=Reference!$A$18, Reference!$C$18, IF(J106=Reference!$A$17, Reference!$C$17, 0))))</f>
        <v>0</v>
      </c>
      <c r="AA106" s="16" t="n">
        <f aca="false">IF(L106=Reference!$A$28, Reference!$C$28, IF(L106=Reference!$A$27, Reference!$C$27, IF(L106=Reference!$A$26, Reference!$C$26, IF(L106=Reference!$A$25, Reference!$C$25, 0))))</f>
        <v>0</v>
      </c>
      <c r="AB106" s="16" t="n">
        <f aca="false">IF(N106=Reference!$A$36, Reference!$C$36, IF(N106=Reference!$A$35, Reference!$C$35, IF(N106=Reference!$A$34, Reference!$C$34, IF(N106=Reference!$A$33, Reference!$C$33, 0))))</f>
        <v>0</v>
      </c>
      <c r="AC106" s="16" t="n">
        <f aca="false">(Reference!$B$2*Y106 + Reference!$B$3*AA106 + Reference!$B$4*Z106 + Reference!$B$5 * AB106)/4</f>
        <v>0</v>
      </c>
      <c r="AD106" s="16" t="n">
        <f aca="false">IF(Q106=Reference!$C$41, Reference!$D$41, IF(Q106=Reference!$C$42, Reference!$D$42, IF(Q106=Reference!$C$43, Reference!$D$43, IF(Q106=Reference!$C$44, Reference!$D$44, 0))))</f>
        <v>0</v>
      </c>
      <c r="AE106" s="16" t="n">
        <f aca="false">1 + (AC106 * AD106)</f>
        <v>1</v>
      </c>
    </row>
    <row r="107" customFormat="false" ht="12.75" hidden="false" customHeight="true" outlineLevel="0" collapsed="false">
      <c r="A107" s="24"/>
      <c r="B107" s="15"/>
      <c r="C107" s="15"/>
      <c r="D107" s="25"/>
      <c r="E107" s="25"/>
      <c r="F107" s="15"/>
      <c r="G107" s="15"/>
      <c r="H107" s="15"/>
      <c r="I107" s="15"/>
      <c r="J107" s="15"/>
      <c r="K107" s="26"/>
      <c r="L107" s="15"/>
      <c r="M107" s="15"/>
      <c r="N107" s="15"/>
      <c r="O107" s="15"/>
      <c r="P107" s="22" t="str">
        <f aca="false">IF(AC107&gt;=Reference!$H$2, Reference!$G$2, IF(AC107&gt;=Reference!$H$3, Reference!$G$3, IF(AC107&gt;=Reference!$H$4, Reference!$G$4, IF(AC107&gt;=Reference!$H$5, Reference!$G$5, ""))))</f>
        <v/>
      </c>
      <c r="Q107" s="22" t="str">
        <f aca="false">IF(F107="Physical", "Very Low", IF(F107="Local", "Low", IF(F107="Adjacent", "Medium", IF(F107="Network", "High", ""))))</f>
        <v/>
      </c>
      <c r="R107" s="22" t="str">
        <f aca="false">IF(AE107&gt;=Reference!$D$2, Reference!$G$2, IF(AE107&gt;=Reference!$D$3, Reference!$E$3, IF(AE107&gt;=Reference!$D$4, Reference!$E$4, IF(AE107&gt;=Reference!$D$5, Reference!$E$5, ""))))</f>
        <v>Low</v>
      </c>
      <c r="S107" s="27"/>
      <c r="T107" s="28"/>
      <c r="U107" s="15"/>
      <c r="V107" s="15"/>
      <c r="W107" s="15"/>
      <c r="Y107" s="16" t="n">
        <f aca="false">IF(H107=Reference!$A$12, Reference!$C$12, IF(H107=Reference!$A$11, Reference!$C$11, IF(H107=Reference!$A$10, Reference!$C$10, IF(H107=Reference!$A$9, Reference!$C$9, 0))))</f>
        <v>0</v>
      </c>
      <c r="Z107" s="16" t="n">
        <f aca="false">IF(J107=Reference!$A$20, Reference!$C$20, IF(J107=Reference!$A$19, Reference!$C$19, IF(J107=Reference!$A$18, Reference!$C$18, IF(J107=Reference!$A$17, Reference!$C$17, 0))))</f>
        <v>0</v>
      </c>
      <c r="AA107" s="16" t="n">
        <f aca="false">IF(L107=Reference!$A$28, Reference!$C$28, IF(L107=Reference!$A$27, Reference!$C$27, IF(L107=Reference!$A$26, Reference!$C$26, IF(L107=Reference!$A$25, Reference!$C$25, 0))))</f>
        <v>0</v>
      </c>
      <c r="AB107" s="16" t="n">
        <f aca="false">IF(N107=Reference!$A$36, Reference!$C$36, IF(N107=Reference!$A$35, Reference!$C$35, IF(N107=Reference!$A$34, Reference!$C$34, IF(N107=Reference!$A$33, Reference!$C$33, 0))))</f>
        <v>0</v>
      </c>
      <c r="AC107" s="16" t="n">
        <f aca="false">(Reference!$B$2*Y107 + Reference!$B$3*AA107 + Reference!$B$4*Z107 + Reference!$B$5 * AB107)/4</f>
        <v>0</v>
      </c>
      <c r="AD107" s="16" t="n">
        <f aca="false">IF(Q107=Reference!$C$41, Reference!$D$41, IF(Q107=Reference!$C$42, Reference!$D$42, IF(Q107=Reference!$C$43, Reference!$D$43, IF(Q107=Reference!$C$44, Reference!$D$44, 0))))</f>
        <v>0</v>
      </c>
      <c r="AE107" s="16" t="n">
        <f aca="false">1 + (AC107 * AD107)</f>
        <v>1</v>
      </c>
    </row>
    <row r="108" customFormat="false" ht="12.75" hidden="false" customHeight="true" outlineLevel="0" collapsed="false">
      <c r="A108" s="24"/>
      <c r="B108" s="15"/>
      <c r="C108" s="15"/>
      <c r="D108" s="25"/>
      <c r="E108" s="25"/>
      <c r="F108" s="15"/>
      <c r="G108" s="15"/>
      <c r="H108" s="15"/>
      <c r="I108" s="15"/>
      <c r="J108" s="15"/>
      <c r="K108" s="15"/>
      <c r="L108" s="15"/>
      <c r="M108" s="15"/>
      <c r="N108" s="15"/>
      <c r="O108" s="15"/>
      <c r="P108" s="22" t="str">
        <f aca="false">IF(AC108&gt;=Reference!$H$2, Reference!$G$2, IF(AC108&gt;=Reference!$H$3, Reference!$G$3, IF(AC108&gt;=Reference!$H$4, Reference!$G$4, IF(AC108&gt;=Reference!$H$5, Reference!$G$5, ""))))</f>
        <v/>
      </c>
      <c r="Q108" s="22" t="str">
        <f aca="false">IF(F108="Physical", "Very Low", IF(F108="Local", "Low", IF(F108="Adjacent", "Medium", IF(F108="Network", "High", ""))))</f>
        <v/>
      </c>
      <c r="R108" s="22" t="str">
        <f aca="false">IF(AE108&gt;=Reference!$D$2, Reference!$G$2, IF(AE108&gt;=Reference!$D$3, Reference!$E$3, IF(AE108&gt;=Reference!$D$4, Reference!$E$4, IF(AE108&gt;=Reference!$D$5, Reference!$E$5, ""))))</f>
        <v>Low</v>
      </c>
      <c r="S108" s="27"/>
      <c r="T108" s="28"/>
      <c r="U108" s="15"/>
      <c r="V108" s="15"/>
      <c r="W108" s="15"/>
      <c r="Y108" s="16" t="n">
        <f aca="false">IF(H108=Reference!$A$12, Reference!$C$12, IF(H108=Reference!$A$11, Reference!$C$11, IF(H108=Reference!$A$10, Reference!$C$10, IF(H108=Reference!$A$9, Reference!$C$9, 0))))</f>
        <v>0</v>
      </c>
      <c r="Z108" s="16" t="n">
        <f aca="false">IF(J108=Reference!$A$20, Reference!$C$20, IF(J108=Reference!$A$19, Reference!$C$19, IF(J108=Reference!$A$18, Reference!$C$18, IF(J108=Reference!$A$17, Reference!$C$17, 0))))</f>
        <v>0</v>
      </c>
      <c r="AA108" s="16" t="n">
        <f aca="false">IF(L108=Reference!$A$28, Reference!$C$28, IF(L108=Reference!$A$27, Reference!$C$27, IF(L108=Reference!$A$26, Reference!$C$26, IF(L108=Reference!$A$25, Reference!$C$25, 0))))</f>
        <v>0</v>
      </c>
      <c r="AB108" s="16" t="n">
        <f aca="false">IF(N108=Reference!$A$36, Reference!$C$36, IF(N108=Reference!$A$35, Reference!$C$35, IF(N108=Reference!$A$34, Reference!$C$34, IF(N108=Reference!$A$33, Reference!$C$33, 0))))</f>
        <v>0</v>
      </c>
      <c r="AC108" s="16" t="n">
        <f aca="false">(Reference!$B$2*Y108 + Reference!$B$3*AA108 + Reference!$B$4*Z108 + Reference!$B$5 * AB108)/4</f>
        <v>0</v>
      </c>
      <c r="AD108" s="16" t="n">
        <f aca="false">IF(Q108=Reference!$C$41, Reference!$D$41, IF(Q108=Reference!$C$42, Reference!$D$42, IF(Q108=Reference!$C$43, Reference!$D$43, IF(Q108=Reference!$C$44, Reference!$D$44, 0))))</f>
        <v>0</v>
      </c>
      <c r="AE108" s="16" t="n">
        <f aca="false">1 + (AC108 * AD108)</f>
        <v>1</v>
      </c>
    </row>
    <row r="109" customFormat="false" ht="12.75" hidden="false" customHeight="true" outlineLevel="0" collapsed="false">
      <c r="A109" s="24"/>
      <c r="B109" s="15"/>
      <c r="C109" s="15"/>
      <c r="D109" s="25"/>
      <c r="E109" s="25"/>
      <c r="F109" s="15"/>
      <c r="G109" s="15"/>
      <c r="H109" s="15"/>
      <c r="I109" s="15"/>
      <c r="J109" s="15"/>
      <c r="K109" s="26"/>
      <c r="L109" s="15"/>
      <c r="M109" s="15"/>
      <c r="N109" s="15"/>
      <c r="O109" s="15"/>
      <c r="P109" s="22" t="str">
        <f aca="false">IF(AC109&gt;=Reference!$H$2, Reference!$G$2, IF(AC109&gt;=Reference!$H$3, Reference!$G$3, IF(AC109&gt;=Reference!$H$4, Reference!$G$4, IF(AC109&gt;=Reference!$H$5, Reference!$G$5, ""))))</f>
        <v/>
      </c>
      <c r="Q109" s="22" t="str">
        <f aca="false">IF(F109="Physical", "Very Low", IF(F109="Local", "Low", IF(F109="Adjacent", "Medium", IF(F109="Network", "High", ""))))</f>
        <v/>
      </c>
      <c r="R109" s="22" t="str">
        <f aca="false">IF(AE109&gt;=Reference!$D$2, Reference!$G$2, IF(AE109&gt;=Reference!$D$3, Reference!$E$3, IF(AE109&gt;=Reference!$D$4, Reference!$E$4, IF(AE109&gt;=Reference!$D$5, Reference!$E$5, ""))))</f>
        <v>Low</v>
      </c>
      <c r="S109" s="27"/>
      <c r="T109" s="28"/>
      <c r="U109" s="15"/>
      <c r="V109" s="15"/>
      <c r="W109" s="15"/>
      <c r="Y109" s="16" t="n">
        <f aca="false">IF(H109=Reference!$A$12, Reference!$C$12, IF(H109=Reference!$A$11, Reference!$C$11, IF(H109=Reference!$A$10, Reference!$C$10, IF(H109=Reference!$A$9, Reference!$C$9, 0))))</f>
        <v>0</v>
      </c>
      <c r="Z109" s="16" t="n">
        <f aca="false">IF(J109=Reference!$A$20, Reference!$C$20, IF(J109=Reference!$A$19, Reference!$C$19, IF(J109=Reference!$A$18, Reference!$C$18, IF(J109=Reference!$A$17, Reference!$C$17, 0))))</f>
        <v>0</v>
      </c>
      <c r="AA109" s="16" t="n">
        <f aca="false">IF(L109=Reference!$A$28, Reference!$C$28, IF(L109=Reference!$A$27, Reference!$C$27, IF(L109=Reference!$A$26, Reference!$C$26, IF(L109=Reference!$A$25, Reference!$C$25, 0))))</f>
        <v>0</v>
      </c>
      <c r="AB109" s="16" t="n">
        <f aca="false">IF(N109=Reference!$A$36, Reference!$C$36, IF(N109=Reference!$A$35, Reference!$C$35, IF(N109=Reference!$A$34, Reference!$C$34, IF(N109=Reference!$A$33, Reference!$C$33, 0))))</f>
        <v>0</v>
      </c>
      <c r="AC109" s="16" t="n">
        <f aca="false">(Reference!$B$2*Y109 + Reference!$B$3*AA109 + Reference!$B$4*Z109 + Reference!$B$5 * AB109)/4</f>
        <v>0</v>
      </c>
      <c r="AD109" s="16" t="n">
        <f aca="false">IF(Q109=Reference!$C$41, Reference!$D$41, IF(Q109=Reference!$C$42, Reference!$D$42, IF(Q109=Reference!$C$43, Reference!$D$43, IF(Q109=Reference!$C$44, Reference!$D$44, 0))))</f>
        <v>0</v>
      </c>
      <c r="AE109" s="16" t="n">
        <f aca="false">1 + (AC109 * AD109)</f>
        <v>1</v>
      </c>
    </row>
    <row r="110" customFormat="false" ht="12.75" hidden="false" customHeight="true" outlineLevel="0" collapsed="false">
      <c r="A110" s="24"/>
      <c r="B110" s="15"/>
      <c r="C110" s="15"/>
      <c r="D110" s="25"/>
      <c r="E110" s="25"/>
      <c r="F110" s="15"/>
      <c r="G110" s="15"/>
      <c r="H110" s="15"/>
      <c r="I110" s="15"/>
      <c r="J110" s="15"/>
      <c r="K110" s="15"/>
      <c r="L110" s="15"/>
      <c r="M110" s="15"/>
      <c r="N110" s="15"/>
      <c r="O110" s="15"/>
      <c r="P110" s="22" t="str">
        <f aca="false">IF(AC110&gt;=Reference!$H$2, Reference!$G$2, IF(AC110&gt;=Reference!$H$3, Reference!$G$3, IF(AC110&gt;=Reference!$H$4, Reference!$G$4, IF(AC110&gt;=Reference!$H$5, Reference!$G$5, ""))))</f>
        <v/>
      </c>
      <c r="Q110" s="22" t="str">
        <f aca="false">IF(F110="Physical", "Very Low", IF(F110="Local", "Low", IF(F110="Adjacent", "Medium", IF(F110="Network", "High", ""))))</f>
        <v/>
      </c>
      <c r="R110" s="22" t="str">
        <f aca="false">IF(AE110&gt;=Reference!$D$2, Reference!$G$2, IF(AE110&gt;=Reference!$D$3, Reference!$E$3, IF(AE110&gt;=Reference!$D$4, Reference!$E$4, IF(AE110&gt;=Reference!$D$5, Reference!$E$5, ""))))</f>
        <v>Low</v>
      </c>
      <c r="S110" s="27"/>
      <c r="T110" s="28"/>
      <c r="U110" s="15"/>
      <c r="V110" s="15"/>
      <c r="W110" s="15"/>
      <c r="Y110" s="16" t="n">
        <f aca="false">IF(H110=Reference!$A$12, Reference!$C$12, IF(H110=Reference!$A$11, Reference!$C$11, IF(H110=Reference!$A$10, Reference!$C$10, IF(H110=Reference!$A$9, Reference!$C$9, 0))))</f>
        <v>0</v>
      </c>
      <c r="Z110" s="16" t="n">
        <f aca="false">IF(J110=Reference!$A$20, Reference!$C$20, IF(J110=Reference!$A$19, Reference!$C$19, IF(J110=Reference!$A$18, Reference!$C$18, IF(J110=Reference!$A$17, Reference!$C$17, 0))))</f>
        <v>0</v>
      </c>
      <c r="AA110" s="16" t="n">
        <f aca="false">IF(L110=Reference!$A$28, Reference!$C$28, IF(L110=Reference!$A$27, Reference!$C$27, IF(L110=Reference!$A$26, Reference!$C$26, IF(L110=Reference!$A$25, Reference!$C$25, 0))))</f>
        <v>0</v>
      </c>
      <c r="AB110" s="16" t="n">
        <f aca="false">IF(N110=Reference!$A$36, Reference!$C$36, IF(N110=Reference!$A$35, Reference!$C$35, IF(N110=Reference!$A$34, Reference!$C$34, IF(N110=Reference!$A$33, Reference!$C$33, 0))))</f>
        <v>0</v>
      </c>
      <c r="AC110" s="16" t="n">
        <f aca="false">(Reference!$B$2*Y110 + Reference!$B$3*AA110 + Reference!$B$4*Z110 + Reference!$B$5 * AB110)/4</f>
        <v>0</v>
      </c>
      <c r="AD110" s="16" t="n">
        <f aca="false">IF(Q110=Reference!$C$41, Reference!$D$41, IF(Q110=Reference!$C$42, Reference!$D$42, IF(Q110=Reference!$C$43, Reference!$D$43, IF(Q110=Reference!$C$44, Reference!$D$44, 0))))</f>
        <v>0</v>
      </c>
      <c r="AE110" s="16" t="n">
        <f aca="false">1 + (AC110 * AD110)</f>
        <v>1</v>
      </c>
    </row>
    <row r="111" customFormat="false" ht="12.75" hidden="false" customHeight="true" outlineLevel="0" collapsed="false">
      <c r="A111" s="24"/>
      <c r="B111" s="15"/>
      <c r="C111" s="15"/>
      <c r="D111" s="25"/>
      <c r="E111" s="25"/>
      <c r="F111" s="15"/>
      <c r="G111" s="15"/>
      <c r="H111" s="15"/>
      <c r="I111" s="15"/>
      <c r="J111" s="15"/>
      <c r="K111" s="26"/>
      <c r="L111" s="15"/>
      <c r="M111" s="15"/>
      <c r="N111" s="15"/>
      <c r="O111" s="15"/>
      <c r="P111" s="22" t="str">
        <f aca="false">IF(AC111&gt;=Reference!$H$2, Reference!$G$2, IF(AC111&gt;=Reference!$H$3, Reference!$G$3, IF(AC111&gt;=Reference!$H$4, Reference!$G$4, IF(AC111&gt;=Reference!$H$5, Reference!$G$5, ""))))</f>
        <v/>
      </c>
      <c r="Q111" s="22" t="str">
        <f aca="false">IF(F111="Physical", "Very Low", IF(F111="Local", "Low", IF(F111="Adjacent", "Medium", IF(F111="Network", "High", ""))))</f>
        <v/>
      </c>
      <c r="R111" s="22" t="str">
        <f aca="false">IF(AE111&gt;=Reference!$D$2, Reference!$G$2, IF(AE111&gt;=Reference!$D$3, Reference!$E$3, IF(AE111&gt;=Reference!$D$4, Reference!$E$4, IF(AE111&gt;=Reference!$D$5, Reference!$E$5, ""))))</f>
        <v>Low</v>
      </c>
      <c r="S111" s="27"/>
      <c r="T111" s="28"/>
      <c r="U111" s="15"/>
      <c r="V111" s="15"/>
      <c r="W111" s="15"/>
      <c r="Y111" s="16" t="n">
        <f aca="false">IF(H111=Reference!$A$12, Reference!$C$12, IF(H111=Reference!$A$11, Reference!$C$11, IF(H111=Reference!$A$10, Reference!$C$10, IF(H111=Reference!$A$9, Reference!$C$9, 0))))</f>
        <v>0</v>
      </c>
      <c r="Z111" s="16" t="n">
        <f aca="false">IF(J111=Reference!$A$20, Reference!$C$20, IF(J111=Reference!$A$19, Reference!$C$19, IF(J111=Reference!$A$18, Reference!$C$18, IF(J111=Reference!$A$17, Reference!$C$17, 0))))</f>
        <v>0</v>
      </c>
      <c r="AA111" s="16" t="n">
        <f aca="false">IF(L111=Reference!$A$28, Reference!$C$28, IF(L111=Reference!$A$27, Reference!$C$27, IF(L111=Reference!$A$26, Reference!$C$26, IF(L111=Reference!$A$25, Reference!$C$25, 0))))</f>
        <v>0</v>
      </c>
      <c r="AB111" s="16" t="n">
        <f aca="false">IF(N111=Reference!$A$36, Reference!$C$36, IF(N111=Reference!$A$35, Reference!$C$35, IF(N111=Reference!$A$34, Reference!$C$34, IF(N111=Reference!$A$33, Reference!$C$33, 0))))</f>
        <v>0</v>
      </c>
      <c r="AC111" s="16" t="n">
        <f aca="false">(Reference!$B$2*Y111 + Reference!$B$3*AA111 + Reference!$B$4*Z111 + Reference!$B$5 * AB111)/4</f>
        <v>0</v>
      </c>
      <c r="AD111" s="16" t="n">
        <f aca="false">IF(Q111=Reference!$C$41, Reference!$D$41, IF(Q111=Reference!$C$42, Reference!$D$42, IF(Q111=Reference!$C$43, Reference!$D$43, IF(Q111=Reference!$C$44, Reference!$D$44, 0))))</f>
        <v>0</v>
      </c>
      <c r="AE111" s="16" t="n">
        <f aca="false">1 + (AC111 * AD111)</f>
        <v>1</v>
      </c>
    </row>
    <row r="112" customFormat="false" ht="12.75" hidden="false" customHeight="true" outlineLevel="0" collapsed="false">
      <c r="A112" s="24"/>
      <c r="B112" s="15"/>
      <c r="C112" s="15"/>
      <c r="D112" s="31"/>
      <c r="E112" s="31"/>
      <c r="F112" s="15"/>
      <c r="G112" s="26"/>
      <c r="H112" s="15"/>
      <c r="I112" s="26"/>
      <c r="J112" s="15"/>
      <c r="K112" s="15"/>
      <c r="L112" s="15"/>
      <c r="M112" s="26"/>
      <c r="N112" s="15"/>
      <c r="O112" s="26"/>
      <c r="P112" s="22" t="str">
        <f aca="false">IF(AC112&gt;=Reference!$H$2, Reference!$G$2, IF(AC112&gt;=Reference!$H$3, Reference!$G$3, IF(AC112&gt;=Reference!$H$4, Reference!$G$4, IF(AC112&gt;=Reference!$H$5, Reference!$G$5, ""))))</f>
        <v/>
      </c>
      <c r="Q112" s="22" t="str">
        <f aca="false">IF(F112="Physical", "Very Low", IF(F112="Local", "Low", IF(F112="Adjacent", "Medium", IF(F112="Network", "High", ""))))</f>
        <v/>
      </c>
      <c r="R112" s="22" t="str">
        <f aca="false">IF(AE112&gt;=Reference!$D$2, Reference!$G$2, IF(AE112&gt;=Reference!$D$3, Reference!$E$3, IF(AE112&gt;=Reference!$D$4, Reference!$E$4, IF(AE112&gt;=Reference!$D$5, Reference!$E$5, ""))))</f>
        <v>Low</v>
      </c>
      <c r="S112" s="27"/>
      <c r="T112" s="40"/>
      <c r="U112" s="15"/>
      <c r="V112" s="40"/>
      <c r="W112" s="15"/>
      <c r="Y112" s="16" t="n">
        <f aca="false">IF(H112=Reference!$A$12, Reference!$C$12, IF(H112=Reference!$A$11, Reference!$C$11, IF(H112=Reference!$A$10, Reference!$C$10, IF(H112=Reference!$A$9, Reference!$C$9, 0))))</f>
        <v>0</v>
      </c>
      <c r="Z112" s="16" t="n">
        <f aca="false">IF(J112=Reference!$A$20, Reference!$C$20, IF(J112=Reference!$A$19, Reference!$C$19, IF(J112=Reference!$A$18, Reference!$C$18, IF(J112=Reference!$A$17, Reference!$C$17, 0))))</f>
        <v>0</v>
      </c>
      <c r="AA112" s="16" t="n">
        <f aca="false">IF(L112=Reference!$A$28, Reference!$C$28, IF(L112=Reference!$A$27, Reference!$C$27, IF(L112=Reference!$A$26, Reference!$C$26, IF(L112=Reference!$A$25, Reference!$C$25, 0))))</f>
        <v>0</v>
      </c>
      <c r="AB112" s="16" t="n">
        <f aca="false">IF(N112=Reference!$A$36, Reference!$C$36, IF(N112=Reference!$A$35, Reference!$C$35, IF(N112=Reference!$A$34, Reference!$C$34, IF(N112=Reference!$A$33, Reference!$C$33, 0))))</f>
        <v>0</v>
      </c>
      <c r="AC112" s="16" t="n">
        <f aca="false">(Reference!$B$2*Y112 + Reference!$B$3*AA112 + Reference!$B$4*Z112 + Reference!$B$5 * AB112)/4</f>
        <v>0</v>
      </c>
      <c r="AD112" s="16" t="n">
        <f aca="false">IF(Q112=Reference!$C$41, Reference!$D$41, IF(Q112=Reference!$C$42, Reference!$D$42, IF(Q112=Reference!$C$43, Reference!$D$43, IF(Q112=Reference!$C$44, Reference!$D$44, 0))))</f>
        <v>0</v>
      </c>
      <c r="AE112" s="16" t="n">
        <f aca="false">1 + (AC112 * AD112)</f>
        <v>1</v>
      </c>
    </row>
    <row r="113" customFormat="false" ht="12.75" hidden="false" customHeight="true" outlineLevel="0" collapsed="false">
      <c r="A113" s="24"/>
      <c r="B113" s="15"/>
      <c r="C113" s="15"/>
      <c r="D113" s="25"/>
      <c r="E113" s="25"/>
      <c r="F113" s="15"/>
      <c r="G113" s="26"/>
      <c r="H113" s="15"/>
      <c r="I113" s="15"/>
      <c r="J113" s="15"/>
      <c r="K113" s="15"/>
      <c r="L113" s="15"/>
      <c r="M113" s="15"/>
      <c r="N113" s="15"/>
      <c r="O113" s="15"/>
      <c r="P113" s="22" t="str">
        <f aca="false">IF(AC113&gt;=Reference!$H$2, Reference!$G$2, IF(AC113&gt;=Reference!$H$3, Reference!$G$3, IF(AC113&gt;=Reference!$H$4, Reference!$G$4, IF(AC113&gt;=Reference!$H$5, Reference!$G$5, ""))))</f>
        <v/>
      </c>
      <c r="Q113" s="22" t="str">
        <f aca="false">IF(F113="Physical", "Very Low", IF(F113="Local", "Low", IF(F113="Adjacent", "Medium", IF(F113="Network", "High", ""))))</f>
        <v/>
      </c>
      <c r="R113" s="22" t="str">
        <f aca="false">IF(AE113&gt;=Reference!$D$2, Reference!$G$2, IF(AE113&gt;=Reference!$D$3, Reference!$E$3, IF(AE113&gt;=Reference!$D$4, Reference!$E$4, IF(AE113&gt;=Reference!$D$5, Reference!$E$5, ""))))</f>
        <v>Low</v>
      </c>
      <c r="S113" s="27"/>
      <c r="T113" s="28"/>
      <c r="U113" s="15"/>
      <c r="V113" s="15"/>
      <c r="W113" s="15"/>
      <c r="Y113" s="16" t="n">
        <f aca="false">IF(H113=Reference!$A$12, Reference!$C$12, IF(H113=Reference!$A$11, Reference!$C$11, IF(H113=Reference!$A$10, Reference!$C$10, IF(H113=Reference!$A$9, Reference!$C$9, 0))))</f>
        <v>0</v>
      </c>
      <c r="Z113" s="16" t="n">
        <f aca="false">IF(J113=Reference!$A$20, Reference!$C$20, IF(J113=Reference!$A$19, Reference!$C$19, IF(J113=Reference!$A$18, Reference!$C$18, IF(J113=Reference!$A$17, Reference!$C$17, 0))))</f>
        <v>0</v>
      </c>
      <c r="AA113" s="16" t="n">
        <f aca="false">IF(L113=Reference!$A$28, Reference!$C$28, IF(L113=Reference!$A$27, Reference!$C$27, IF(L113=Reference!$A$26, Reference!$C$26, IF(L113=Reference!$A$25, Reference!$C$25, 0))))</f>
        <v>0</v>
      </c>
      <c r="AB113" s="16" t="n">
        <f aca="false">IF(N113=Reference!$A$36, Reference!$C$36, IF(N113=Reference!$A$35, Reference!$C$35, IF(N113=Reference!$A$34, Reference!$C$34, IF(N113=Reference!$A$33, Reference!$C$33, 0))))</f>
        <v>0</v>
      </c>
      <c r="AC113" s="16" t="n">
        <f aca="false">(Reference!$B$2*Y113 + Reference!$B$3*AA113 + Reference!$B$4*Z113 + Reference!$B$5 * AB113)/4</f>
        <v>0</v>
      </c>
      <c r="AD113" s="16" t="n">
        <f aca="false">IF(Q113=Reference!$C$41, Reference!$D$41, IF(Q113=Reference!$C$42, Reference!$D$42, IF(Q113=Reference!$C$43, Reference!$D$43, IF(Q113=Reference!$C$44, Reference!$D$44, 0))))</f>
        <v>0</v>
      </c>
      <c r="AE113" s="16" t="n">
        <f aca="false">1 + (AC113 * AD113)</f>
        <v>1</v>
      </c>
    </row>
    <row r="114" customFormat="false" ht="12.75" hidden="false" customHeight="true" outlineLevel="0" collapsed="false">
      <c r="A114" s="24"/>
      <c r="B114" s="15"/>
      <c r="C114" s="15"/>
      <c r="D114" s="25"/>
      <c r="E114" s="25"/>
      <c r="F114" s="15"/>
      <c r="G114" s="15"/>
      <c r="H114" s="15"/>
      <c r="I114" s="15"/>
      <c r="J114" s="15"/>
      <c r="K114" s="26"/>
      <c r="L114" s="15"/>
      <c r="M114" s="15"/>
      <c r="N114" s="15"/>
      <c r="O114" s="15"/>
      <c r="P114" s="22" t="str">
        <f aca="false">IF(AC114&gt;=Reference!$H$2, Reference!$G$2, IF(AC114&gt;=Reference!$H$3, Reference!$G$3, IF(AC114&gt;=Reference!$H$4, Reference!$G$4, IF(AC114&gt;=Reference!$H$5, Reference!$G$5, ""))))</f>
        <v/>
      </c>
      <c r="Q114" s="22" t="str">
        <f aca="false">IF(F114="Physical", "Very Low", IF(F114="Local", "Low", IF(F114="Adjacent", "Medium", IF(F114="Network", "High", ""))))</f>
        <v/>
      </c>
      <c r="R114" s="22" t="str">
        <f aca="false">IF(AE114&gt;=Reference!$D$2, Reference!$G$2, IF(AE114&gt;=Reference!$D$3, Reference!$E$3, IF(AE114&gt;=Reference!$D$4, Reference!$E$4, IF(AE114&gt;=Reference!$D$5, Reference!$E$5, ""))))</f>
        <v>Low</v>
      </c>
      <c r="S114" s="27"/>
      <c r="T114" s="15"/>
      <c r="U114" s="15"/>
      <c r="V114" s="15"/>
      <c r="W114" s="15"/>
      <c r="Y114" s="16" t="n">
        <f aca="false">IF(H114=Reference!$A$12, Reference!$C$12, IF(H114=Reference!$A$11, Reference!$C$11, IF(H114=Reference!$A$10, Reference!$C$10, IF(H114=Reference!$A$9, Reference!$C$9, 0))))</f>
        <v>0</v>
      </c>
      <c r="Z114" s="16" t="n">
        <f aca="false">IF(J114=Reference!$A$20, Reference!$C$20, IF(J114=Reference!$A$19, Reference!$C$19, IF(J114=Reference!$A$18, Reference!$C$18, IF(J114=Reference!$A$17, Reference!$C$17, 0))))</f>
        <v>0</v>
      </c>
      <c r="AA114" s="16" t="n">
        <f aca="false">IF(L114=Reference!$A$28, Reference!$C$28, IF(L114=Reference!$A$27, Reference!$C$27, IF(L114=Reference!$A$26, Reference!$C$26, IF(L114=Reference!$A$25, Reference!$C$25, 0))))</f>
        <v>0</v>
      </c>
      <c r="AB114" s="16" t="n">
        <f aca="false">IF(N114=Reference!$A$36, Reference!$C$36, IF(N114=Reference!$A$35, Reference!$C$35, IF(N114=Reference!$A$34, Reference!$C$34, IF(N114=Reference!$A$33, Reference!$C$33, 0))))</f>
        <v>0</v>
      </c>
      <c r="AC114" s="16" t="n">
        <f aca="false">(Reference!$B$2*Y114 + Reference!$B$3*AA114 + Reference!$B$4*Z114 + Reference!$B$5 * AB114)/4</f>
        <v>0</v>
      </c>
      <c r="AD114" s="16" t="n">
        <f aca="false">IF(Q114=Reference!$C$41, Reference!$D$41, IF(Q114=Reference!$C$42, Reference!$D$42, IF(Q114=Reference!$C$43, Reference!$D$43, IF(Q114=Reference!$C$44, Reference!$D$44, 0))))</f>
        <v>0</v>
      </c>
      <c r="AE114" s="16" t="n">
        <f aca="false">1 + (AC114 * AD114)</f>
        <v>1</v>
      </c>
    </row>
    <row r="115" customFormat="false" ht="12.75" hidden="false" customHeight="true" outlineLevel="0" collapsed="false">
      <c r="A115" s="24"/>
      <c r="B115" s="15"/>
      <c r="C115" s="15"/>
      <c r="D115" s="25"/>
      <c r="E115" s="31"/>
      <c r="F115" s="15"/>
      <c r="G115" s="15"/>
      <c r="H115" s="15"/>
      <c r="I115" s="15"/>
      <c r="J115" s="15"/>
      <c r="K115" s="26"/>
      <c r="L115" s="15"/>
      <c r="M115" s="15"/>
      <c r="N115" s="15"/>
      <c r="O115" s="15"/>
      <c r="P115" s="22" t="str">
        <f aca="false">IF(AC115&gt;=Reference!$H$2, Reference!$G$2, IF(AC115&gt;=Reference!$H$3, Reference!$G$3, IF(AC115&gt;=Reference!$H$4, Reference!$G$4, IF(AC115&gt;=Reference!$H$5, Reference!$G$5, ""))))</f>
        <v/>
      </c>
      <c r="Q115" s="22" t="str">
        <f aca="false">IF(F115="Physical", "Very Low", IF(F115="Local", "Low", IF(F115="Adjacent", "Medium", IF(F115="Network", "High", ""))))</f>
        <v/>
      </c>
      <c r="R115" s="22" t="str">
        <f aca="false">IF(AE115&gt;=Reference!$D$2, Reference!$G$2, IF(AE115&gt;=Reference!$D$3, Reference!$E$3, IF(AE115&gt;=Reference!$D$4, Reference!$E$4, IF(AE115&gt;=Reference!$D$5, Reference!$E$5, ""))))</f>
        <v>Low</v>
      </c>
      <c r="S115" s="27"/>
      <c r="T115" s="28"/>
      <c r="U115" s="15"/>
      <c r="V115" s="15"/>
      <c r="W115" s="15"/>
      <c r="Y115" s="16" t="n">
        <f aca="false">IF(H115=Reference!$A$12, Reference!$C$12, IF(H115=Reference!$A$11, Reference!$C$11, IF(H115=Reference!$A$10, Reference!$C$10, IF(H115=Reference!$A$9, Reference!$C$9, 0))))</f>
        <v>0</v>
      </c>
      <c r="Z115" s="16" t="n">
        <f aca="false">IF(J115=Reference!$A$20, Reference!$C$20, IF(J115=Reference!$A$19, Reference!$C$19, IF(J115=Reference!$A$18, Reference!$C$18, IF(J115=Reference!$A$17, Reference!$C$17, 0))))</f>
        <v>0</v>
      </c>
      <c r="AA115" s="16" t="n">
        <f aca="false">IF(L115=Reference!$A$28, Reference!$C$28, IF(L115=Reference!$A$27, Reference!$C$27, IF(L115=Reference!$A$26, Reference!$C$26, IF(L115=Reference!$A$25, Reference!$C$25, 0))))</f>
        <v>0</v>
      </c>
      <c r="AB115" s="16" t="n">
        <f aca="false">IF(N115=Reference!$A$36, Reference!$C$36, IF(N115=Reference!$A$35, Reference!$C$35, IF(N115=Reference!$A$34, Reference!$C$34, IF(N115=Reference!$A$33, Reference!$C$33, 0))))</f>
        <v>0</v>
      </c>
      <c r="AC115" s="16" t="n">
        <f aca="false">(Reference!$B$2*Y115 + Reference!$B$3*AA115 + Reference!$B$4*Z115 + Reference!$B$5 * AB115)/4</f>
        <v>0</v>
      </c>
      <c r="AD115" s="16" t="n">
        <f aca="false">IF(Q115=Reference!$C$41, Reference!$D$41, IF(Q115=Reference!$C$42, Reference!$D$42, IF(Q115=Reference!$C$43, Reference!$D$43, IF(Q115=Reference!$C$44, Reference!$D$44, 0))))</f>
        <v>0</v>
      </c>
      <c r="AE115" s="16" t="n">
        <f aca="false">1 + (AC115 * AD115)</f>
        <v>1</v>
      </c>
    </row>
    <row r="116" customFormat="false" ht="12.75" hidden="false" customHeight="true" outlineLevel="0" collapsed="false">
      <c r="A116" s="24"/>
      <c r="B116" s="15"/>
      <c r="C116" s="15"/>
      <c r="D116" s="25"/>
      <c r="E116" s="25"/>
      <c r="F116" s="15"/>
      <c r="G116" s="15"/>
      <c r="H116" s="15"/>
      <c r="I116" s="15"/>
      <c r="J116" s="15"/>
      <c r="K116" s="15"/>
      <c r="L116" s="15"/>
      <c r="M116" s="15"/>
      <c r="N116" s="15"/>
      <c r="O116" s="15"/>
      <c r="P116" s="22" t="str">
        <f aca="false">IF(AC116&gt;=Reference!$H$2, Reference!$G$2, IF(AC116&gt;=Reference!$H$3, Reference!$G$3, IF(AC116&gt;=Reference!$H$4, Reference!$G$4, IF(AC116&gt;=Reference!$H$5, Reference!$G$5, ""))))</f>
        <v/>
      </c>
      <c r="Q116" s="22" t="str">
        <f aca="false">IF(F116="Physical", "Very Low", IF(F116="Local", "Low", IF(F116="Adjacent", "Medium", IF(F116="Network", "High", ""))))</f>
        <v/>
      </c>
      <c r="R116" s="22" t="str">
        <f aca="false">IF(AE116&gt;=Reference!$D$2, Reference!$G$2, IF(AE116&gt;=Reference!$D$3, Reference!$E$3, IF(AE116&gt;=Reference!$D$4, Reference!$E$4, IF(AE116&gt;=Reference!$D$5, Reference!$E$5, ""))))</f>
        <v>Low</v>
      </c>
      <c r="S116" s="27"/>
      <c r="T116" s="28"/>
      <c r="U116" s="15"/>
      <c r="V116" s="15"/>
      <c r="W116" s="15"/>
      <c r="Y116" s="16" t="n">
        <f aca="false">IF(H116=Reference!$A$12, Reference!$C$12, IF(H116=Reference!$A$11, Reference!$C$11, IF(H116=Reference!$A$10, Reference!$C$10, IF(H116=Reference!$A$9, Reference!$C$9, 0))))</f>
        <v>0</v>
      </c>
      <c r="Z116" s="16" t="n">
        <f aca="false">IF(J116=Reference!$A$20, Reference!$C$20, IF(J116=Reference!$A$19, Reference!$C$19, IF(J116=Reference!$A$18, Reference!$C$18, IF(J116=Reference!$A$17, Reference!$C$17, 0))))</f>
        <v>0</v>
      </c>
      <c r="AA116" s="16" t="n">
        <f aca="false">IF(L116=Reference!$A$28, Reference!$C$28, IF(L116=Reference!$A$27, Reference!$C$27, IF(L116=Reference!$A$26, Reference!$C$26, IF(L116=Reference!$A$25, Reference!$C$25, 0))))</f>
        <v>0</v>
      </c>
      <c r="AB116" s="16" t="n">
        <f aca="false">IF(N116=Reference!$A$36, Reference!$C$36, IF(N116=Reference!$A$35, Reference!$C$35, IF(N116=Reference!$A$34, Reference!$C$34, IF(N116=Reference!$A$33, Reference!$C$33, 0))))</f>
        <v>0</v>
      </c>
      <c r="AC116" s="16" t="n">
        <f aca="false">(Reference!$B$2*Y116 + Reference!$B$3*AA116 + Reference!$B$4*Z116 + Reference!$B$5 * AB116)/4</f>
        <v>0</v>
      </c>
      <c r="AD116" s="16" t="n">
        <f aca="false">IF(Q116=Reference!$C$41, Reference!$D$41, IF(Q116=Reference!$C$42, Reference!$D$42, IF(Q116=Reference!$C$43, Reference!$D$43, IF(Q116=Reference!$C$44, Reference!$D$44, 0))))</f>
        <v>0</v>
      </c>
      <c r="AE116" s="16" t="n">
        <f aca="false">1 + (AC116 * AD116)</f>
        <v>1</v>
      </c>
    </row>
    <row r="117" customFormat="false" ht="12.75" hidden="false" customHeight="true" outlineLevel="0" collapsed="false">
      <c r="A117" s="24"/>
      <c r="B117" s="15"/>
      <c r="C117" s="15"/>
      <c r="D117" s="25"/>
      <c r="E117" s="25"/>
      <c r="F117" s="15"/>
      <c r="G117" s="15"/>
      <c r="H117" s="15"/>
      <c r="I117" s="15"/>
      <c r="J117" s="15"/>
      <c r="K117" s="26"/>
      <c r="L117" s="15"/>
      <c r="M117" s="15"/>
      <c r="N117" s="15"/>
      <c r="O117" s="15"/>
      <c r="P117" s="22" t="str">
        <f aca="false">IF(AC117&gt;=Reference!$H$2, Reference!$G$2, IF(AC117&gt;=Reference!$H$3, Reference!$G$3, IF(AC117&gt;=Reference!$H$4, Reference!$G$4, IF(AC117&gt;=Reference!$H$5, Reference!$G$5, ""))))</f>
        <v/>
      </c>
      <c r="Q117" s="22" t="str">
        <f aca="false">IF(F117="Physical", "Very Low", IF(F117="Local", "Low", IF(F117="Adjacent", "Medium", IF(F117="Network", "High", ""))))</f>
        <v/>
      </c>
      <c r="R117" s="22" t="str">
        <f aca="false">IF(AE117&gt;=Reference!$D$2, Reference!$G$2, IF(AE117&gt;=Reference!$D$3, Reference!$E$3, IF(AE117&gt;=Reference!$D$4, Reference!$E$4, IF(AE117&gt;=Reference!$D$5, Reference!$E$5, ""))))</f>
        <v>Low</v>
      </c>
      <c r="S117" s="27"/>
      <c r="T117" s="28"/>
      <c r="U117" s="15"/>
      <c r="V117" s="15"/>
      <c r="W117" s="15"/>
      <c r="Y117" s="16" t="n">
        <f aca="false">IF(H117=Reference!$A$12, Reference!$C$12, IF(H117=Reference!$A$11, Reference!$C$11, IF(H117=Reference!$A$10, Reference!$C$10, IF(H117=Reference!$A$9, Reference!$C$9, 0))))</f>
        <v>0</v>
      </c>
      <c r="Z117" s="16" t="n">
        <f aca="false">IF(J117=Reference!$A$20, Reference!$C$20, IF(J117=Reference!$A$19, Reference!$C$19, IF(J117=Reference!$A$18, Reference!$C$18, IF(J117=Reference!$A$17, Reference!$C$17, 0))))</f>
        <v>0</v>
      </c>
      <c r="AA117" s="16" t="n">
        <f aca="false">IF(L117=Reference!$A$28, Reference!$C$28, IF(L117=Reference!$A$27, Reference!$C$27, IF(L117=Reference!$A$26, Reference!$C$26, IF(L117=Reference!$A$25, Reference!$C$25, 0))))</f>
        <v>0</v>
      </c>
      <c r="AB117" s="16" t="n">
        <f aca="false">IF(N117=Reference!$A$36, Reference!$C$36, IF(N117=Reference!$A$35, Reference!$C$35, IF(N117=Reference!$A$34, Reference!$C$34, IF(N117=Reference!$A$33, Reference!$C$33, 0))))</f>
        <v>0</v>
      </c>
      <c r="AC117" s="16" t="n">
        <f aca="false">(Reference!$B$2*Y117 + Reference!$B$3*AA117 + Reference!$B$4*Z117 + Reference!$B$5 * AB117)/4</f>
        <v>0</v>
      </c>
      <c r="AD117" s="16" t="n">
        <f aca="false">IF(Q117=Reference!$C$41, Reference!$D$41, IF(Q117=Reference!$C$42, Reference!$D$42, IF(Q117=Reference!$C$43, Reference!$D$43, IF(Q117=Reference!$C$44, Reference!$D$44, 0))))</f>
        <v>0</v>
      </c>
      <c r="AE117" s="16" t="n">
        <f aca="false">1 + (AC117 * AD117)</f>
        <v>1</v>
      </c>
    </row>
    <row r="118" customFormat="false" ht="12.75" hidden="false" customHeight="true" outlineLevel="0" collapsed="false">
      <c r="A118" s="24"/>
      <c r="B118" s="15"/>
      <c r="C118" s="15"/>
      <c r="D118" s="25"/>
      <c r="E118" s="25"/>
      <c r="F118" s="15"/>
      <c r="G118" s="15"/>
      <c r="H118" s="15"/>
      <c r="I118" s="15"/>
      <c r="J118" s="15"/>
      <c r="K118" s="15"/>
      <c r="L118" s="15"/>
      <c r="M118" s="15"/>
      <c r="N118" s="15"/>
      <c r="O118" s="15"/>
      <c r="P118" s="22" t="str">
        <f aca="false">IF(AC118&gt;=Reference!$H$2, Reference!$G$2, IF(AC118&gt;=Reference!$H$3, Reference!$G$3, IF(AC118&gt;=Reference!$H$4, Reference!$G$4, IF(AC118&gt;=Reference!$H$5, Reference!$G$5, ""))))</f>
        <v/>
      </c>
      <c r="Q118" s="22" t="str">
        <f aca="false">IF(F118="Physical", "Very Low", IF(F118="Local", "Low", IF(F118="Adjacent", "Medium", IF(F118="Network", "High", ""))))</f>
        <v/>
      </c>
      <c r="R118" s="22" t="str">
        <f aca="false">IF(AE118&gt;=Reference!$D$2, Reference!$G$2, IF(AE118&gt;=Reference!$D$3, Reference!$E$3, IF(AE118&gt;=Reference!$D$4, Reference!$E$4, IF(AE118&gt;=Reference!$D$5, Reference!$E$5, ""))))</f>
        <v>Low</v>
      </c>
      <c r="S118" s="27"/>
      <c r="T118" s="28"/>
      <c r="U118" s="15"/>
      <c r="V118" s="15"/>
      <c r="W118" s="15"/>
      <c r="Y118" s="16" t="n">
        <f aca="false">IF(H118=Reference!$A$12, Reference!$C$12, IF(H118=Reference!$A$11, Reference!$C$11, IF(H118=Reference!$A$10, Reference!$C$10, IF(H118=Reference!$A$9, Reference!$C$9, 0))))</f>
        <v>0</v>
      </c>
      <c r="Z118" s="16" t="n">
        <f aca="false">IF(J118=Reference!$A$20, Reference!$C$20, IF(J118=Reference!$A$19, Reference!$C$19, IF(J118=Reference!$A$18, Reference!$C$18, IF(J118=Reference!$A$17, Reference!$C$17, 0))))</f>
        <v>0</v>
      </c>
      <c r="AA118" s="16" t="n">
        <f aca="false">IF(L118=Reference!$A$28, Reference!$C$28, IF(L118=Reference!$A$27, Reference!$C$27, IF(L118=Reference!$A$26, Reference!$C$26, IF(L118=Reference!$A$25, Reference!$C$25, 0))))</f>
        <v>0</v>
      </c>
      <c r="AB118" s="16" t="n">
        <f aca="false">IF(N118=Reference!$A$36, Reference!$C$36, IF(N118=Reference!$A$35, Reference!$C$35, IF(N118=Reference!$A$34, Reference!$C$34, IF(N118=Reference!$A$33, Reference!$C$33, 0))))</f>
        <v>0</v>
      </c>
      <c r="AC118" s="16" t="n">
        <f aca="false">(Reference!$B$2*Y118 + Reference!$B$3*AA118 + Reference!$B$4*Z118 + Reference!$B$5 * AB118)/4</f>
        <v>0</v>
      </c>
      <c r="AD118" s="16" t="n">
        <f aca="false">IF(Q118=Reference!$C$41, Reference!$D$41, IF(Q118=Reference!$C$42, Reference!$D$42, IF(Q118=Reference!$C$43, Reference!$D$43, IF(Q118=Reference!$C$44, Reference!$D$44, 0))))</f>
        <v>0</v>
      </c>
      <c r="AE118" s="16" t="n">
        <f aca="false">1 + (AC118 * AD118)</f>
        <v>1</v>
      </c>
    </row>
    <row r="119" customFormat="false" ht="12.75" hidden="false" customHeight="true" outlineLevel="0" collapsed="false">
      <c r="A119" s="41"/>
      <c r="B119" s="15"/>
      <c r="C119" s="15"/>
      <c r="D119" s="25"/>
      <c r="E119" s="25"/>
      <c r="F119" s="15"/>
      <c r="G119" s="15"/>
      <c r="H119" s="15"/>
      <c r="I119" s="15"/>
      <c r="J119" s="15"/>
      <c r="K119" s="15"/>
      <c r="L119" s="15"/>
      <c r="M119" s="15"/>
      <c r="N119" s="15"/>
      <c r="O119" s="15"/>
      <c r="P119" s="22" t="str">
        <f aca="false">IF(AC119&gt;=Reference!$H$2, Reference!$G$2, IF(AC119&gt;=Reference!$H$3, Reference!$G$3, IF(AC119&gt;=Reference!$H$4, Reference!$G$4, IF(AC119&gt;=Reference!$H$5, Reference!$G$5, ""))))</f>
        <v/>
      </c>
      <c r="Q119" s="22" t="str">
        <f aca="false">IF(F119="Physical", "Very Low", IF(F119="Local", "Low", IF(F119="Adjacent", "Medium", IF(F119="Network", "High", ""))))</f>
        <v/>
      </c>
      <c r="R119" s="22" t="str">
        <f aca="false">IF(AE119&gt;=Reference!$D$2, Reference!$G$2, IF(AE119&gt;=Reference!$D$3, Reference!$E$3, IF(AE119&gt;=Reference!$D$4, Reference!$E$4, IF(AE119&gt;=Reference!$D$5, Reference!$E$5, ""))))</f>
        <v>Low</v>
      </c>
      <c r="S119" s="27"/>
      <c r="T119" s="28"/>
      <c r="U119" s="15"/>
      <c r="V119" s="15"/>
      <c r="W119" s="15"/>
      <c r="Y119" s="16" t="n">
        <f aca="false">IF(H119=Reference!$A$12, Reference!$C$12, IF(H119=Reference!$A$11, Reference!$C$11, IF(H119=Reference!$A$10, Reference!$C$10, IF(H119=Reference!$A$9, Reference!$C$9, 0))))</f>
        <v>0</v>
      </c>
      <c r="Z119" s="16" t="n">
        <f aca="false">IF(J119=Reference!$A$20, Reference!$C$20, IF(J119=Reference!$A$19, Reference!$C$19, IF(J119=Reference!$A$18, Reference!$C$18, IF(J119=Reference!$A$17, Reference!$C$17, 0))))</f>
        <v>0</v>
      </c>
      <c r="AA119" s="16" t="n">
        <f aca="false">IF(L119=Reference!$A$28, Reference!$C$28, IF(L119=Reference!$A$27, Reference!$C$27, IF(L119=Reference!$A$26, Reference!$C$26, IF(L119=Reference!$A$25, Reference!$C$25, 0))))</f>
        <v>0</v>
      </c>
      <c r="AB119" s="16" t="n">
        <f aca="false">IF(N119=Reference!$A$36, Reference!$C$36, IF(N119=Reference!$A$35, Reference!$C$35, IF(N119=Reference!$A$34, Reference!$C$34, IF(N119=Reference!$A$33, Reference!$C$33, 0))))</f>
        <v>0</v>
      </c>
      <c r="AC119" s="16" t="n">
        <f aca="false">(Reference!$B$2*Y119 + Reference!$B$3*AA119 + Reference!$B$4*Z119 + Reference!$B$5 * AB119)/4</f>
        <v>0</v>
      </c>
      <c r="AD119" s="16" t="n">
        <f aca="false">IF(Q119=Reference!$C$41, Reference!$D$41, IF(Q119=Reference!$C$42, Reference!$D$42, IF(Q119=Reference!$C$43, Reference!$D$43, IF(Q119=Reference!$C$44, Reference!$D$44, 0))))</f>
        <v>0</v>
      </c>
      <c r="AE119" s="16" t="n">
        <f aca="false">1 + (AC119 * AD119)</f>
        <v>1</v>
      </c>
    </row>
    <row r="120" customFormat="false" ht="12.75" hidden="false" customHeight="true" outlineLevel="0" collapsed="false">
      <c r="A120" s="24"/>
      <c r="B120" s="15"/>
      <c r="C120" s="15"/>
      <c r="D120" s="25"/>
      <c r="E120" s="25"/>
      <c r="F120" s="15"/>
      <c r="G120" s="15"/>
      <c r="H120" s="15"/>
      <c r="I120" s="15"/>
      <c r="J120" s="15"/>
      <c r="K120" s="15"/>
      <c r="L120" s="15"/>
      <c r="M120" s="15"/>
      <c r="N120" s="15"/>
      <c r="O120" s="15"/>
      <c r="P120" s="22" t="str">
        <f aca="false">IF(AC120&gt;=Reference!$H$2, Reference!$G$2, IF(AC120&gt;=Reference!$H$3, Reference!$G$3, IF(AC120&gt;=Reference!$H$4, Reference!$G$4, IF(AC120&gt;=Reference!$H$5, Reference!$G$5, ""))))</f>
        <v/>
      </c>
      <c r="Q120" s="22" t="str">
        <f aca="false">IF(F120="Physical", "Very Low", IF(F120="Local", "Low", IF(F120="Adjacent", "Medium", IF(F120="Network", "High", ""))))</f>
        <v/>
      </c>
      <c r="R120" s="22" t="str">
        <f aca="false">IF(AE120&gt;=Reference!$D$2, Reference!$G$2, IF(AE120&gt;=Reference!$D$3, Reference!$E$3, IF(AE120&gt;=Reference!$D$4, Reference!$E$4, IF(AE120&gt;=Reference!$D$5, Reference!$E$5, ""))))</f>
        <v>Low</v>
      </c>
      <c r="S120" s="27"/>
      <c r="T120" s="28"/>
      <c r="U120" s="15"/>
      <c r="V120" s="15"/>
      <c r="W120" s="15"/>
      <c r="Y120" s="16" t="n">
        <f aca="false">IF(H120=Reference!$A$12, Reference!$C$12, IF(H120=Reference!$A$11, Reference!$C$11, IF(H120=Reference!$A$10, Reference!$C$10, IF(H120=Reference!$A$9, Reference!$C$9, 0))))</f>
        <v>0</v>
      </c>
      <c r="Z120" s="16" t="n">
        <f aca="false">IF(J120=Reference!$A$20, Reference!$C$20, IF(J120=Reference!$A$19, Reference!$C$19, IF(J120=Reference!$A$18, Reference!$C$18, IF(J120=Reference!$A$17, Reference!$C$17, 0))))</f>
        <v>0</v>
      </c>
      <c r="AA120" s="16" t="n">
        <f aca="false">IF(L120=Reference!$A$28, Reference!$C$28, IF(L120=Reference!$A$27, Reference!$C$27, IF(L120=Reference!$A$26, Reference!$C$26, IF(L120=Reference!$A$25, Reference!$C$25, 0))))</f>
        <v>0</v>
      </c>
      <c r="AB120" s="16" t="n">
        <f aca="false">IF(N120=Reference!$A$36, Reference!$C$36, IF(N120=Reference!$A$35, Reference!$C$35, IF(N120=Reference!$A$34, Reference!$C$34, IF(N120=Reference!$A$33, Reference!$C$33, 0))))</f>
        <v>0</v>
      </c>
      <c r="AC120" s="16" t="n">
        <f aca="false">(Reference!$B$2*Y120 + Reference!$B$3*AA120 + Reference!$B$4*Z120 + Reference!$B$5 * AB120)/4</f>
        <v>0</v>
      </c>
      <c r="AD120" s="16" t="n">
        <f aca="false">IF(Q120=Reference!$C$41, Reference!$D$41, IF(Q120=Reference!$C$42, Reference!$D$42, IF(Q120=Reference!$C$43, Reference!$D$43, IF(Q120=Reference!$C$44, Reference!$D$44, 0))))</f>
        <v>0</v>
      </c>
      <c r="AE120" s="16" t="n">
        <f aca="false">1 + (AC120 * AD120)</f>
        <v>1</v>
      </c>
    </row>
    <row r="121" customFormat="false" ht="12.75" hidden="false" customHeight="true" outlineLevel="0" collapsed="false">
      <c r="A121" s="24"/>
      <c r="B121" s="15"/>
      <c r="C121" s="15"/>
      <c r="D121" s="25"/>
      <c r="E121" s="25"/>
      <c r="F121" s="15"/>
      <c r="G121" s="15"/>
      <c r="H121" s="15"/>
      <c r="I121" s="15"/>
      <c r="J121" s="15"/>
      <c r="K121" s="15"/>
      <c r="L121" s="15"/>
      <c r="M121" s="15"/>
      <c r="N121" s="15"/>
      <c r="O121" s="15"/>
      <c r="P121" s="22" t="str">
        <f aca="false">IF(AC121&gt;=Reference!$H$2, Reference!$G$2, IF(AC121&gt;=Reference!$H$3, Reference!$G$3, IF(AC121&gt;=Reference!$H$4, Reference!$G$4, IF(AC121&gt;=Reference!$H$5, Reference!$G$5, ""))))</f>
        <v/>
      </c>
      <c r="Q121" s="22" t="str">
        <f aca="false">IF(F121="Physical", "Very Low", IF(F121="Local", "Low", IF(F121="Adjacent", "Medium", IF(F121="Network", "High", ""))))</f>
        <v/>
      </c>
      <c r="R121" s="22" t="str">
        <f aca="false">IF(AE121&gt;=Reference!$D$2, Reference!$G$2, IF(AE121&gt;=Reference!$D$3, Reference!$E$3, IF(AE121&gt;=Reference!$D$4, Reference!$E$4, IF(AE121&gt;=Reference!$D$5, Reference!$E$5, ""))))</f>
        <v>Low</v>
      </c>
      <c r="S121" s="27"/>
      <c r="T121" s="28"/>
      <c r="U121" s="15"/>
      <c r="V121" s="15"/>
      <c r="W121" s="15"/>
      <c r="Y121" s="16" t="n">
        <f aca="false">IF(H121=Reference!$A$12, Reference!$C$12, IF(H121=Reference!$A$11, Reference!$C$11, IF(H121=Reference!$A$10, Reference!$C$10, IF(H121=Reference!$A$9, Reference!$C$9, 0))))</f>
        <v>0</v>
      </c>
      <c r="Z121" s="16" t="n">
        <f aca="false">IF(J121=Reference!$A$20, Reference!$C$20, IF(J121=Reference!$A$19, Reference!$C$19, IF(J121=Reference!$A$18, Reference!$C$18, IF(J121=Reference!$A$17, Reference!$C$17, 0))))</f>
        <v>0</v>
      </c>
      <c r="AA121" s="16" t="n">
        <f aca="false">IF(L121=Reference!$A$28, Reference!$C$28, IF(L121=Reference!$A$27, Reference!$C$27, IF(L121=Reference!$A$26, Reference!$C$26, IF(L121=Reference!$A$25, Reference!$C$25, 0))))</f>
        <v>0</v>
      </c>
      <c r="AB121" s="16" t="n">
        <f aca="false">IF(N121=Reference!$A$36, Reference!$C$36, IF(N121=Reference!$A$35, Reference!$C$35, IF(N121=Reference!$A$34, Reference!$C$34, IF(N121=Reference!$A$33, Reference!$C$33, 0))))</f>
        <v>0</v>
      </c>
      <c r="AC121" s="16" t="n">
        <f aca="false">(Reference!$B$2*Y121 + Reference!$B$3*AA121 + Reference!$B$4*Z121 + Reference!$B$5 * AB121)/4</f>
        <v>0</v>
      </c>
      <c r="AD121" s="16" t="n">
        <f aca="false">IF(Q121=Reference!$C$41, Reference!$D$41, IF(Q121=Reference!$C$42, Reference!$D$42, IF(Q121=Reference!$C$43, Reference!$D$43, IF(Q121=Reference!$C$44, Reference!$D$44, 0))))</f>
        <v>0</v>
      </c>
      <c r="AE121" s="16" t="n">
        <f aca="false">1 + (AC121 * AD121)</f>
        <v>1</v>
      </c>
    </row>
    <row r="122" customFormat="false" ht="12.75" hidden="false" customHeight="true" outlineLevel="0" collapsed="false">
      <c r="A122" s="24"/>
      <c r="B122" s="15"/>
      <c r="C122" s="15"/>
      <c r="D122" s="25"/>
      <c r="E122" s="25"/>
      <c r="F122" s="15"/>
      <c r="G122" s="15"/>
      <c r="H122" s="15"/>
      <c r="I122" s="15"/>
      <c r="J122" s="15"/>
      <c r="K122" s="15"/>
      <c r="L122" s="15"/>
      <c r="M122" s="15"/>
      <c r="N122" s="15"/>
      <c r="O122" s="15"/>
      <c r="P122" s="22" t="str">
        <f aca="false">IF(AC122&gt;=Reference!$H$2, Reference!$G$2, IF(AC122&gt;=Reference!$H$3, Reference!$G$3, IF(AC122&gt;=Reference!$H$4, Reference!$G$4, IF(AC122&gt;=Reference!$H$5, Reference!$G$5, ""))))</f>
        <v/>
      </c>
      <c r="Q122" s="22" t="str">
        <f aca="false">IF(F122="Physical", "Very Low", IF(F122="Local", "Low", IF(F122="Adjacent", "Medium", IF(F122="Network", "High", ""))))</f>
        <v/>
      </c>
      <c r="R122" s="22" t="str">
        <f aca="false">IF(AE122&gt;=Reference!$D$2, Reference!$G$2, IF(AE122&gt;=Reference!$D$3, Reference!$E$3, IF(AE122&gt;=Reference!$D$4, Reference!$E$4, IF(AE122&gt;=Reference!$D$5, Reference!$E$5, ""))))</f>
        <v>Low</v>
      </c>
      <c r="S122" s="27"/>
      <c r="T122" s="28"/>
      <c r="U122" s="15"/>
      <c r="V122" s="15"/>
      <c r="W122" s="15"/>
      <c r="Y122" s="16" t="n">
        <f aca="false">IF(H122=Reference!$A$12, Reference!$C$12, IF(H122=Reference!$A$11, Reference!$C$11, IF(H122=Reference!$A$10, Reference!$C$10, IF(H122=Reference!$A$9, Reference!$C$9, 0))))</f>
        <v>0</v>
      </c>
      <c r="Z122" s="16" t="n">
        <f aca="false">IF(J122=Reference!$A$20, Reference!$C$20, IF(J122=Reference!$A$19, Reference!$C$19, IF(J122=Reference!$A$18, Reference!$C$18, IF(J122=Reference!$A$17, Reference!$C$17, 0))))</f>
        <v>0</v>
      </c>
      <c r="AA122" s="16" t="n">
        <f aca="false">IF(L122=Reference!$A$28, Reference!$C$28, IF(L122=Reference!$A$27, Reference!$C$27, IF(L122=Reference!$A$26, Reference!$C$26, IF(L122=Reference!$A$25, Reference!$C$25, 0))))</f>
        <v>0</v>
      </c>
      <c r="AB122" s="16" t="n">
        <f aca="false">IF(N122=Reference!$A$36, Reference!$C$36, IF(N122=Reference!$A$35, Reference!$C$35, IF(N122=Reference!$A$34, Reference!$C$34, IF(N122=Reference!$A$33, Reference!$C$33, 0))))</f>
        <v>0</v>
      </c>
      <c r="AC122" s="16" t="n">
        <f aca="false">(Reference!$B$2*Y122 + Reference!$B$3*AA122 + Reference!$B$4*Z122 + Reference!$B$5 * AB122)/4</f>
        <v>0</v>
      </c>
      <c r="AD122" s="16" t="n">
        <f aca="false">IF(Q122=Reference!$C$41, Reference!$D$41, IF(Q122=Reference!$C$42, Reference!$D$42, IF(Q122=Reference!$C$43, Reference!$D$43, IF(Q122=Reference!$C$44, Reference!$D$44, 0))))</f>
        <v>0</v>
      </c>
      <c r="AE122" s="16" t="n">
        <f aca="false">1 + (AC122 * AD122)</f>
        <v>1</v>
      </c>
    </row>
    <row r="123" customFormat="false" ht="12.75" hidden="false" customHeight="true" outlineLevel="0" collapsed="false">
      <c r="A123" s="24"/>
      <c r="B123" s="15"/>
      <c r="C123" s="15"/>
      <c r="D123" s="25"/>
      <c r="E123" s="25"/>
      <c r="F123" s="15"/>
      <c r="G123" s="15"/>
      <c r="H123" s="15"/>
      <c r="I123" s="15"/>
      <c r="J123" s="15"/>
      <c r="K123" s="26"/>
      <c r="L123" s="15"/>
      <c r="M123" s="15"/>
      <c r="N123" s="15"/>
      <c r="O123" s="15"/>
      <c r="P123" s="22" t="str">
        <f aca="false">IF(AC123&gt;=Reference!$H$2, Reference!$G$2, IF(AC123&gt;=Reference!$H$3, Reference!$G$3, IF(AC123&gt;=Reference!$H$4, Reference!$G$4, IF(AC123&gt;=Reference!$H$5, Reference!$G$5, ""))))</f>
        <v/>
      </c>
      <c r="Q123" s="22" t="str">
        <f aca="false">IF(F123="Physical", "Very Low", IF(F123="Local", "Low", IF(F123="Adjacent", "Medium", IF(F123="Network", "High", ""))))</f>
        <v/>
      </c>
      <c r="R123" s="22" t="str">
        <f aca="false">IF(AE123&gt;=Reference!$D$2, Reference!$G$2, IF(AE123&gt;=Reference!$D$3, Reference!$E$3, IF(AE123&gt;=Reference!$D$4, Reference!$E$4, IF(AE123&gt;=Reference!$D$5, Reference!$E$5, ""))))</f>
        <v>Low</v>
      </c>
      <c r="S123" s="27"/>
      <c r="T123" s="28"/>
      <c r="U123" s="15"/>
      <c r="V123" s="15"/>
      <c r="W123" s="15"/>
      <c r="Y123" s="16" t="n">
        <f aca="false">IF(H123=Reference!$A$12, Reference!$C$12, IF(H123=Reference!$A$11, Reference!$C$11, IF(H123=Reference!$A$10, Reference!$C$10, IF(H123=Reference!$A$9, Reference!$C$9, 0))))</f>
        <v>0</v>
      </c>
      <c r="Z123" s="16" t="n">
        <f aca="false">IF(J123=Reference!$A$20, Reference!$C$20, IF(J123=Reference!$A$19, Reference!$C$19, IF(J123=Reference!$A$18, Reference!$C$18, IF(J123=Reference!$A$17, Reference!$C$17, 0))))</f>
        <v>0</v>
      </c>
      <c r="AA123" s="16" t="n">
        <f aca="false">IF(L123=Reference!$A$28, Reference!$C$28, IF(L123=Reference!$A$27, Reference!$C$27, IF(L123=Reference!$A$26, Reference!$C$26, IF(L123=Reference!$A$25, Reference!$C$25, 0))))</f>
        <v>0</v>
      </c>
      <c r="AB123" s="16" t="n">
        <f aca="false">IF(N123=Reference!$A$36, Reference!$C$36, IF(N123=Reference!$A$35, Reference!$C$35, IF(N123=Reference!$A$34, Reference!$C$34, IF(N123=Reference!$A$33, Reference!$C$33, 0))))</f>
        <v>0</v>
      </c>
      <c r="AC123" s="16" t="n">
        <f aca="false">(Reference!$B$2*Y123 + Reference!$B$3*AA123 + Reference!$B$4*Z123 + Reference!$B$5 * AB123)/4</f>
        <v>0</v>
      </c>
      <c r="AD123" s="16" t="n">
        <f aca="false">IF(Q123=Reference!$C$41, Reference!$D$41, IF(Q123=Reference!$C$42, Reference!$D$42, IF(Q123=Reference!$C$43, Reference!$D$43, IF(Q123=Reference!$C$44, Reference!$D$44, 0))))</f>
        <v>0</v>
      </c>
      <c r="AE123" s="16" t="n">
        <f aca="false">1 + (AC123 * AD123)</f>
        <v>1</v>
      </c>
    </row>
    <row r="124" customFormat="false" ht="12.75" hidden="false" customHeight="true" outlineLevel="0" collapsed="false">
      <c r="A124" s="24"/>
      <c r="B124" s="15"/>
      <c r="C124" s="15"/>
      <c r="D124" s="25"/>
      <c r="E124" s="31"/>
      <c r="F124" s="15"/>
      <c r="G124" s="15"/>
      <c r="H124" s="15"/>
      <c r="I124" s="26"/>
      <c r="J124" s="15"/>
      <c r="K124" s="26"/>
      <c r="L124" s="15"/>
      <c r="M124" s="26"/>
      <c r="N124" s="15"/>
      <c r="O124" s="26"/>
      <c r="P124" s="22" t="str">
        <f aca="false">IF(AC124&gt;=Reference!$H$2, Reference!$G$2, IF(AC124&gt;=Reference!$H$3, Reference!$G$3, IF(AC124&gt;=Reference!$H$4, Reference!$G$4, IF(AC124&gt;=Reference!$H$5, Reference!$G$5, ""))))</f>
        <v/>
      </c>
      <c r="Q124" s="22" t="str">
        <f aca="false">IF(F124="Physical", "Very Low", IF(F124="Local", "Low", IF(F124="Adjacent", "Medium", IF(F124="Network", "High", ""))))</f>
        <v/>
      </c>
      <c r="R124" s="22" t="str">
        <f aca="false">IF(AE124&gt;=Reference!$D$2, Reference!$G$2, IF(AE124&gt;=Reference!$D$3, Reference!$E$3, IF(AE124&gt;=Reference!$D$4, Reference!$E$4, IF(AE124&gt;=Reference!$D$5, Reference!$E$5, ""))))</f>
        <v>Low</v>
      </c>
      <c r="S124" s="27"/>
      <c r="T124" s="28"/>
      <c r="U124" s="15"/>
      <c r="V124" s="15"/>
      <c r="W124" s="15"/>
      <c r="Y124" s="16" t="n">
        <f aca="false">IF(H124=Reference!$A$12, Reference!$C$12, IF(H124=Reference!$A$11, Reference!$C$11, IF(H124=Reference!$A$10, Reference!$C$10, IF(H124=Reference!$A$9, Reference!$C$9, 0))))</f>
        <v>0</v>
      </c>
      <c r="Z124" s="16" t="n">
        <f aca="false">IF(J124=Reference!$A$20, Reference!$C$20, IF(J124=Reference!$A$19, Reference!$C$19, IF(J124=Reference!$A$18, Reference!$C$18, IF(J124=Reference!$A$17, Reference!$C$17, 0))))</f>
        <v>0</v>
      </c>
      <c r="AA124" s="16" t="n">
        <f aca="false">IF(L124=Reference!$A$28, Reference!$C$28, IF(L124=Reference!$A$27, Reference!$C$27, IF(L124=Reference!$A$26, Reference!$C$26, IF(L124=Reference!$A$25, Reference!$C$25, 0))))</f>
        <v>0</v>
      </c>
      <c r="AB124" s="16" t="n">
        <f aca="false">IF(N124=Reference!$A$36, Reference!$C$36, IF(N124=Reference!$A$35, Reference!$C$35, IF(N124=Reference!$A$34, Reference!$C$34, IF(N124=Reference!$A$33, Reference!$C$33, 0))))</f>
        <v>0</v>
      </c>
      <c r="AC124" s="16" t="n">
        <f aca="false">(Reference!$B$2*Y124 + Reference!$B$3*AA124 + Reference!$B$4*Z124 + Reference!$B$5 * AB124)/4</f>
        <v>0</v>
      </c>
      <c r="AD124" s="16" t="n">
        <f aca="false">IF(Q124=Reference!$C$41, Reference!$D$41, IF(Q124=Reference!$C$42, Reference!$D$42, IF(Q124=Reference!$C$43, Reference!$D$43, IF(Q124=Reference!$C$44, Reference!$D$44, 0))))</f>
        <v>0</v>
      </c>
      <c r="AE124" s="16" t="n">
        <f aca="false">1 + (AC124 * AD124)</f>
        <v>1</v>
      </c>
    </row>
    <row r="125" customFormat="false" ht="12.75" hidden="false" customHeight="true" outlineLevel="0" collapsed="false">
      <c r="A125" s="24"/>
      <c r="B125" s="15"/>
      <c r="C125" s="15"/>
      <c r="D125" s="25"/>
      <c r="E125" s="25"/>
      <c r="F125" s="15"/>
      <c r="G125" s="15"/>
      <c r="H125" s="15"/>
      <c r="I125" s="15"/>
      <c r="J125" s="15"/>
      <c r="K125" s="26"/>
      <c r="L125" s="15"/>
      <c r="M125" s="15"/>
      <c r="N125" s="15"/>
      <c r="O125" s="15"/>
      <c r="P125" s="22" t="str">
        <f aca="false">IF(AC125&gt;=Reference!$H$2, Reference!$G$2, IF(AC125&gt;=Reference!$H$3, Reference!$G$3, IF(AC125&gt;=Reference!$H$4, Reference!$G$4, IF(AC125&gt;=Reference!$H$5, Reference!$G$5, ""))))</f>
        <v/>
      </c>
      <c r="Q125" s="22" t="str">
        <f aca="false">IF(F125="Physical", "Very Low", IF(F125="Local", "Low", IF(F125="Adjacent", "Medium", IF(F125="Network", "High", ""))))</f>
        <v/>
      </c>
      <c r="R125" s="22" t="str">
        <f aca="false">IF(AE125&gt;=Reference!$D$2, Reference!$G$2, IF(AE125&gt;=Reference!$D$3, Reference!$E$3, IF(AE125&gt;=Reference!$D$4, Reference!$E$4, IF(AE125&gt;=Reference!$D$5, Reference!$E$5, ""))))</f>
        <v>Low</v>
      </c>
      <c r="S125" s="27"/>
      <c r="T125" s="28"/>
      <c r="U125" s="15"/>
      <c r="V125" s="15"/>
      <c r="W125" s="15"/>
      <c r="Y125" s="16" t="n">
        <f aca="false">IF(H125=Reference!$A$12, Reference!$C$12, IF(H125=Reference!$A$11, Reference!$C$11, IF(H125=Reference!$A$10, Reference!$C$10, IF(H125=Reference!$A$9, Reference!$C$9, 0))))</f>
        <v>0</v>
      </c>
      <c r="Z125" s="16" t="n">
        <f aca="false">IF(J125=Reference!$A$20, Reference!$C$20, IF(J125=Reference!$A$19, Reference!$C$19, IF(J125=Reference!$A$18, Reference!$C$18, IF(J125=Reference!$A$17, Reference!$C$17, 0))))</f>
        <v>0</v>
      </c>
      <c r="AA125" s="16" t="n">
        <f aca="false">IF(L125=Reference!$A$28, Reference!$C$28, IF(L125=Reference!$A$27, Reference!$C$27, IF(L125=Reference!$A$26, Reference!$C$26, IF(L125=Reference!$A$25, Reference!$C$25, 0))))</f>
        <v>0</v>
      </c>
      <c r="AB125" s="16" t="n">
        <f aca="false">IF(N125=Reference!$A$36, Reference!$C$36, IF(N125=Reference!$A$35, Reference!$C$35, IF(N125=Reference!$A$34, Reference!$C$34, IF(N125=Reference!$A$33, Reference!$C$33, 0))))</f>
        <v>0</v>
      </c>
      <c r="AC125" s="16" t="n">
        <f aca="false">(Reference!$B$2*Y125 + Reference!$B$3*AA125 + Reference!$B$4*Z125 + Reference!$B$5 * AB125)/4</f>
        <v>0</v>
      </c>
      <c r="AD125" s="16" t="n">
        <f aca="false">IF(Q125=Reference!$C$41, Reference!$D$41, IF(Q125=Reference!$C$42, Reference!$D$42, IF(Q125=Reference!$C$43, Reference!$D$43, IF(Q125=Reference!$C$44, Reference!$D$44, 0))))</f>
        <v>0</v>
      </c>
      <c r="AE125" s="16" t="n">
        <f aca="false">1 + (AC125 * AD125)</f>
        <v>1</v>
      </c>
    </row>
    <row r="126" customFormat="false" ht="12.75" hidden="false" customHeight="true" outlineLevel="0" collapsed="false">
      <c r="A126" s="24"/>
      <c r="B126" s="15"/>
      <c r="C126" s="15"/>
      <c r="D126" s="25"/>
      <c r="E126" s="25"/>
      <c r="F126" s="15"/>
      <c r="G126" s="15"/>
      <c r="H126" s="15"/>
      <c r="I126" s="15"/>
      <c r="J126" s="15"/>
      <c r="K126" s="15"/>
      <c r="L126" s="15"/>
      <c r="M126" s="15"/>
      <c r="N126" s="15"/>
      <c r="O126" s="15"/>
      <c r="P126" s="22" t="str">
        <f aca="false">IF(AC126&gt;=Reference!$H$2, Reference!$G$2, IF(AC126&gt;=Reference!$H$3, Reference!$G$3, IF(AC126&gt;=Reference!$H$4, Reference!$G$4, IF(AC126&gt;=Reference!$H$5, Reference!$G$5, ""))))</f>
        <v/>
      </c>
      <c r="Q126" s="22" t="str">
        <f aca="false">IF(F126="Physical", "Very Low", IF(F126="Local", "Low", IF(F126="Adjacent", "Medium", IF(F126="Network", "High", ""))))</f>
        <v/>
      </c>
      <c r="R126" s="22" t="str">
        <f aca="false">IF(AE126&gt;=Reference!$D$2, Reference!$G$2, IF(AE126&gt;=Reference!$D$3, Reference!$E$3, IF(AE126&gt;=Reference!$D$4, Reference!$E$4, IF(AE126&gt;=Reference!$D$5, Reference!$E$5, ""))))</f>
        <v>Low</v>
      </c>
      <c r="S126" s="27"/>
      <c r="T126" s="16"/>
      <c r="U126" s="15"/>
      <c r="V126" s="16"/>
      <c r="W126" s="15"/>
      <c r="X126" s="23"/>
      <c r="Y126" s="16" t="n">
        <f aca="false">IF(H126=Reference!$A$12, Reference!$C$12, IF(H126=Reference!$A$11, Reference!$C$11, IF(H126=Reference!$A$10, Reference!$C$10, IF(H126=Reference!$A$9, Reference!$C$9, 0))))</f>
        <v>0</v>
      </c>
      <c r="Z126" s="16" t="n">
        <f aca="false">IF(J126=Reference!$A$20, Reference!$C$20, IF(J126=Reference!$A$19, Reference!$C$19, IF(J126=Reference!$A$18, Reference!$C$18, IF(J126=Reference!$A$17, Reference!$C$17, 0))))</f>
        <v>0</v>
      </c>
      <c r="AA126" s="16" t="n">
        <f aca="false">IF(L126=Reference!$A$28, Reference!$C$28, IF(L126=Reference!$A$27, Reference!$C$27, IF(L126=Reference!$A$26, Reference!$C$26, IF(L126=Reference!$A$25, Reference!$C$25, 0))))</f>
        <v>0</v>
      </c>
      <c r="AB126" s="16" t="n">
        <f aca="false">IF(N126=Reference!$A$36, Reference!$C$36, IF(N126=Reference!$A$35, Reference!$C$35, IF(N126=Reference!$A$34, Reference!$C$34, IF(N126=Reference!$A$33, Reference!$C$33, 0))))</f>
        <v>0</v>
      </c>
      <c r="AC126" s="16" t="n">
        <f aca="false">(Reference!$B$2*Y126 + Reference!$B$3*AA126 + Reference!$B$4*Z126 + Reference!$B$5 * AB126)/4</f>
        <v>0</v>
      </c>
      <c r="AD126" s="16" t="n">
        <f aca="false">IF(Q126=Reference!$C$41, Reference!$D$41, IF(Q126=Reference!$C$42, Reference!$D$42, IF(Q126=Reference!$C$43, Reference!$D$43, IF(Q126=Reference!$C$44, Reference!$D$44, 0))))</f>
        <v>0</v>
      </c>
      <c r="AE126" s="16" t="n">
        <f aca="false">1 + (AC126 * AD126)</f>
        <v>1</v>
      </c>
    </row>
    <row r="127" customFormat="false" ht="12.75" hidden="false" customHeight="true" outlineLevel="0" collapsed="false">
      <c r="A127" s="24"/>
      <c r="B127" s="15"/>
      <c r="C127" s="15"/>
      <c r="D127" s="25"/>
      <c r="E127" s="25"/>
      <c r="F127" s="15"/>
      <c r="G127" s="15"/>
      <c r="H127" s="15"/>
      <c r="I127" s="15"/>
      <c r="J127" s="15"/>
      <c r="K127" s="26"/>
      <c r="L127" s="15"/>
      <c r="M127" s="15"/>
      <c r="N127" s="15"/>
      <c r="O127" s="15"/>
      <c r="P127" s="22" t="str">
        <f aca="false">IF(AC127&gt;=Reference!$H$2, Reference!$G$2, IF(AC127&gt;=Reference!$H$3, Reference!$G$3, IF(AC127&gt;=Reference!$H$4, Reference!$G$4, IF(AC127&gt;=Reference!$H$5, Reference!$G$5, ""))))</f>
        <v/>
      </c>
      <c r="Q127" s="22" t="str">
        <f aca="false">IF(F127="Physical", "Very Low", IF(F127="Local", "Low", IF(F127="Adjacent", "Medium", IF(F127="Network", "High", ""))))</f>
        <v/>
      </c>
      <c r="R127" s="22" t="str">
        <f aca="false">IF(AE127&gt;=Reference!$D$2, Reference!$G$2, IF(AE127&gt;=Reference!$D$3, Reference!$E$3, IF(AE127&gt;=Reference!$D$4, Reference!$E$4, IF(AE127&gt;=Reference!$D$5, Reference!$E$5, ""))))</f>
        <v>Low</v>
      </c>
      <c r="S127" s="27"/>
      <c r="T127" s="28"/>
      <c r="U127" s="15"/>
      <c r="V127" s="15"/>
      <c r="W127" s="15"/>
      <c r="Y127" s="16" t="n">
        <f aca="false">IF(H127=Reference!$A$12, Reference!$C$12, IF(H127=Reference!$A$11, Reference!$C$11, IF(H127=Reference!$A$10, Reference!$C$10, IF(H127=Reference!$A$9, Reference!$C$9, 0))))</f>
        <v>0</v>
      </c>
      <c r="Z127" s="16" t="n">
        <f aca="false">IF(J127=Reference!$A$20, Reference!$C$20, IF(J127=Reference!$A$19, Reference!$C$19, IF(J127=Reference!$A$18, Reference!$C$18, IF(J127=Reference!$A$17, Reference!$C$17, 0))))</f>
        <v>0</v>
      </c>
      <c r="AA127" s="16" t="n">
        <f aca="false">IF(L127=Reference!$A$28, Reference!$C$28, IF(L127=Reference!$A$27, Reference!$C$27, IF(L127=Reference!$A$26, Reference!$C$26, IF(L127=Reference!$A$25, Reference!$C$25, 0))))</f>
        <v>0</v>
      </c>
      <c r="AB127" s="16" t="n">
        <f aca="false">IF(N127=Reference!$A$36, Reference!$C$36, IF(N127=Reference!$A$35, Reference!$C$35, IF(N127=Reference!$A$34, Reference!$C$34, IF(N127=Reference!$A$33, Reference!$C$33, 0))))</f>
        <v>0</v>
      </c>
      <c r="AC127" s="16" t="n">
        <f aca="false">(Reference!$B$2*Y127 + Reference!$B$3*AA127 + Reference!$B$4*Z127 + Reference!$B$5 * AB127)/4</f>
        <v>0</v>
      </c>
      <c r="AD127" s="16" t="n">
        <f aca="false">IF(Q127=Reference!$C$41, Reference!$D$41, IF(Q127=Reference!$C$42, Reference!$D$42, IF(Q127=Reference!$C$43, Reference!$D$43, IF(Q127=Reference!$C$44, Reference!$D$44, 0))))</f>
        <v>0</v>
      </c>
      <c r="AE127" s="16" t="n">
        <f aca="false">1 + (AC127 * AD127)</f>
        <v>1</v>
      </c>
    </row>
    <row r="128" customFormat="false" ht="12.75" hidden="false" customHeight="true" outlineLevel="0" collapsed="false">
      <c r="A128" s="24"/>
      <c r="B128" s="15"/>
      <c r="C128" s="15"/>
      <c r="D128" s="25"/>
      <c r="E128" s="31"/>
      <c r="F128" s="15"/>
      <c r="G128" s="15"/>
      <c r="H128" s="15"/>
      <c r="I128" s="15"/>
      <c r="J128" s="15"/>
      <c r="K128" s="26"/>
      <c r="L128" s="15"/>
      <c r="M128" s="26"/>
      <c r="N128" s="15"/>
      <c r="O128" s="26"/>
      <c r="P128" s="22" t="str">
        <f aca="false">IF(AC128&gt;=Reference!$H$2, Reference!$G$2, IF(AC128&gt;=Reference!$H$3, Reference!$G$3, IF(AC128&gt;=Reference!$H$4, Reference!$G$4, IF(AC128&gt;=Reference!$H$5, Reference!$G$5, ""))))</f>
        <v/>
      </c>
      <c r="Q128" s="22" t="str">
        <f aca="false">IF(F128="Physical", "Very Low", IF(F128="Local", "Low", IF(F128="Adjacent", "Medium", IF(F128="Network", "High", ""))))</f>
        <v/>
      </c>
      <c r="R128" s="22" t="str">
        <f aca="false">IF(AE128&gt;=Reference!$D$2, Reference!$G$2, IF(AE128&gt;=Reference!$D$3, Reference!$E$3, IF(AE128&gt;=Reference!$D$4, Reference!$E$4, IF(AE128&gt;=Reference!$D$5, Reference!$E$5, ""))))</f>
        <v>Low</v>
      </c>
      <c r="S128" s="27"/>
      <c r="T128" s="28"/>
      <c r="U128" s="15"/>
      <c r="V128" s="15"/>
      <c r="W128" s="15"/>
      <c r="Y128" s="16" t="n">
        <f aca="false">IF(H128=Reference!$A$12, Reference!$C$12, IF(H128=Reference!$A$11, Reference!$C$11, IF(H128=Reference!$A$10, Reference!$C$10, IF(H128=Reference!$A$9, Reference!$C$9, 0))))</f>
        <v>0</v>
      </c>
      <c r="Z128" s="16" t="n">
        <f aca="false">IF(J128=Reference!$A$20, Reference!$C$20, IF(J128=Reference!$A$19, Reference!$C$19, IF(J128=Reference!$A$18, Reference!$C$18, IF(J128=Reference!$A$17, Reference!$C$17, 0))))</f>
        <v>0</v>
      </c>
      <c r="AA128" s="16" t="n">
        <f aca="false">IF(L128=Reference!$A$28, Reference!$C$28, IF(L128=Reference!$A$27, Reference!$C$27, IF(L128=Reference!$A$26, Reference!$C$26, IF(L128=Reference!$A$25, Reference!$C$25, 0))))</f>
        <v>0</v>
      </c>
      <c r="AB128" s="16" t="n">
        <f aca="false">IF(N128=Reference!$A$36, Reference!$C$36, IF(N128=Reference!$A$35, Reference!$C$35, IF(N128=Reference!$A$34, Reference!$C$34, IF(N128=Reference!$A$33, Reference!$C$33, 0))))</f>
        <v>0</v>
      </c>
      <c r="AC128" s="16" t="n">
        <f aca="false">(Reference!$B$2*Y128 + Reference!$B$3*AA128 + Reference!$B$4*Z128 + Reference!$B$5 * AB128)/4</f>
        <v>0</v>
      </c>
      <c r="AD128" s="16" t="n">
        <f aca="false">IF(Q128=Reference!$C$41, Reference!$D$41, IF(Q128=Reference!$C$42, Reference!$D$42, IF(Q128=Reference!$C$43, Reference!$D$43, IF(Q128=Reference!$C$44, Reference!$D$44, 0))))</f>
        <v>0</v>
      </c>
      <c r="AE128" s="16" t="n">
        <f aca="false">1 + (AC128 * AD128)</f>
        <v>1</v>
      </c>
    </row>
    <row r="129" customFormat="false" ht="12.75" hidden="false" customHeight="true" outlineLevel="0" collapsed="false">
      <c r="A129" s="15"/>
      <c r="C129" s="15"/>
      <c r="D129" s="25"/>
      <c r="E129" s="25"/>
      <c r="F129" s="15"/>
      <c r="G129" s="15"/>
      <c r="H129" s="15"/>
      <c r="I129" s="15"/>
      <c r="J129" s="15"/>
      <c r="K129" s="15"/>
      <c r="L129" s="15"/>
      <c r="M129" s="15"/>
      <c r="N129" s="15"/>
      <c r="O129" s="15"/>
      <c r="P129" s="22" t="str">
        <f aca="false">IF(AC129&gt;=Reference!$H$2, Reference!$G$2, IF(AC129&gt;=Reference!$H$3, Reference!$G$3, IF(AC129&gt;=Reference!$H$4, Reference!$G$4, IF(AC129&gt;=Reference!$H$5, Reference!$G$5, ""))))</f>
        <v/>
      </c>
      <c r="Q129" s="22" t="str">
        <f aca="false">IF(F129="Physical", "Very Low", IF(F129="Local", "Low", IF(F129="Adjacent", "Medium", IF(F129="Network", "High", ""))))</f>
        <v/>
      </c>
      <c r="R129" s="22" t="str">
        <f aca="false">IF(AE129&gt;=Reference!$D$2, Reference!$G$2, IF(AE129&gt;=Reference!$D$3, Reference!$E$3, IF(AE129&gt;=Reference!$D$4, Reference!$E$4, IF(AE129&gt;=Reference!$D$5, Reference!$E$5, ""))))</f>
        <v>Low</v>
      </c>
      <c r="S129" s="27"/>
      <c r="T129" s="28"/>
      <c r="U129" s="15"/>
      <c r="V129" s="15"/>
      <c r="W129" s="15"/>
      <c r="Y129" s="16" t="n">
        <f aca="false">IF(H129=Reference!$A$12, Reference!$C$12, IF(H129=Reference!$A$11, Reference!$C$11, IF(H129=Reference!$A$10, Reference!$C$10, IF(H129=Reference!$A$9, Reference!$C$9, 0))))</f>
        <v>0</v>
      </c>
      <c r="Z129" s="16" t="n">
        <f aca="false">IF(J129=Reference!$A$20, Reference!$C$20, IF(J129=Reference!$A$19, Reference!$C$19, IF(J129=Reference!$A$18, Reference!$C$18, IF(J129=Reference!$A$17, Reference!$C$17, 0))))</f>
        <v>0</v>
      </c>
      <c r="AA129" s="16" t="n">
        <f aca="false">IF(L129=Reference!$A$28, Reference!$C$28, IF(L129=Reference!$A$27, Reference!$C$27, IF(L129=Reference!$A$26, Reference!$C$26, IF(L129=Reference!$A$25, Reference!$C$25, 0))))</f>
        <v>0</v>
      </c>
      <c r="AB129" s="16" t="n">
        <f aca="false">IF(N129=Reference!$A$36, Reference!$C$36, IF(N129=Reference!$A$35, Reference!$C$35, IF(N129=Reference!$A$34, Reference!$C$34, IF(N129=Reference!$A$33, Reference!$C$33, 0))))</f>
        <v>0</v>
      </c>
      <c r="AC129" s="16" t="n">
        <f aca="false">(Reference!$B$2*Y129 + Reference!$B$3*AA129 + Reference!$B$4*Z129 + Reference!$B$5 * AB129)/4</f>
        <v>0</v>
      </c>
      <c r="AD129" s="16" t="n">
        <f aca="false">IF(Q129=Reference!$C$41, Reference!$D$41, IF(Q129=Reference!$C$42, Reference!$D$42, IF(Q129=Reference!$C$43, Reference!$D$43, IF(Q129=Reference!$C$44, Reference!$D$44, 0))))</f>
        <v>0</v>
      </c>
      <c r="AE129" s="16" t="n">
        <f aca="false">1 + (AC129 * AD129)</f>
        <v>1</v>
      </c>
    </row>
    <row r="130" customFormat="false" ht="12.75" hidden="false" customHeight="true" outlineLevel="0" collapsed="false">
      <c r="A130" s="24"/>
      <c r="B130" s="15"/>
      <c r="C130" s="15"/>
      <c r="D130" s="25"/>
      <c r="E130" s="25"/>
      <c r="F130" s="15"/>
      <c r="G130" s="15"/>
      <c r="H130" s="15"/>
      <c r="I130" s="15"/>
      <c r="J130" s="15"/>
      <c r="K130" s="15"/>
      <c r="L130" s="15"/>
      <c r="M130" s="15"/>
      <c r="N130" s="15"/>
      <c r="O130" s="15"/>
      <c r="P130" s="22" t="str">
        <f aca="false">IF(AC130&gt;=Reference!$H$2, Reference!$G$2, IF(AC130&gt;=Reference!$H$3, Reference!$G$3, IF(AC130&gt;=Reference!$H$4, Reference!$G$4, IF(AC130&gt;=Reference!$H$5, Reference!$G$5, ""))))</f>
        <v/>
      </c>
      <c r="Q130" s="22" t="str">
        <f aca="false">IF(F130="Physical", "Very Low", IF(F130="Local", "Low", IF(F130="Adjacent", "Medium", IF(F130="Network", "High", ""))))</f>
        <v/>
      </c>
      <c r="R130" s="22" t="str">
        <f aca="false">IF(AE130&gt;=Reference!$D$2, Reference!$G$2, IF(AE130&gt;=Reference!$D$3, Reference!$E$3, IF(AE130&gt;=Reference!$D$4, Reference!$E$4, IF(AE130&gt;=Reference!$D$5, Reference!$E$5, ""))))</f>
        <v>Low</v>
      </c>
      <c r="S130" s="27"/>
      <c r="T130" s="28"/>
      <c r="U130" s="15"/>
      <c r="V130" s="15"/>
      <c r="W130" s="15"/>
      <c r="Y130" s="16" t="n">
        <f aca="false">IF(H130=Reference!$A$12, Reference!$C$12, IF(H130=Reference!$A$11, Reference!$C$11, IF(H130=Reference!$A$10, Reference!$C$10, IF(H130=Reference!$A$9, Reference!$C$9, 0))))</f>
        <v>0</v>
      </c>
      <c r="Z130" s="16" t="n">
        <f aca="false">IF(J130=Reference!$A$20, Reference!$C$20, IF(J130=Reference!$A$19, Reference!$C$19, IF(J130=Reference!$A$18, Reference!$C$18, IF(J130=Reference!$A$17, Reference!$C$17, 0))))</f>
        <v>0</v>
      </c>
      <c r="AA130" s="16" t="n">
        <f aca="false">IF(L130=Reference!$A$28, Reference!$C$28, IF(L130=Reference!$A$27, Reference!$C$27, IF(L130=Reference!$A$26, Reference!$C$26, IF(L130=Reference!$A$25, Reference!$C$25, 0))))</f>
        <v>0</v>
      </c>
      <c r="AB130" s="16" t="n">
        <f aca="false">IF(N130=Reference!$A$36, Reference!$C$36, IF(N130=Reference!$A$35, Reference!$C$35, IF(N130=Reference!$A$34, Reference!$C$34, IF(N130=Reference!$A$33, Reference!$C$33, 0))))</f>
        <v>0</v>
      </c>
      <c r="AC130" s="16" t="n">
        <f aca="false">(Reference!$B$2*Y130 + Reference!$B$3*AA130 + Reference!$B$4*Z130 + Reference!$B$5 * AB130)/4</f>
        <v>0</v>
      </c>
      <c r="AD130" s="16" t="n">
        <f aca="false">IF(Q130=Reference!$C$41, Reference!$D$41, IF(Q130=Reference!$C$42, Reference!$D$42, IF(Q130=Reference!$C$43, Reference!$D$43, IF(Q130=Reference!$C$44, Reference!$D$44, 0))))</f>
        <v>0</v>
      </c>
      <c r="AE130" s="16" t="n">
        <f aca="false">1 + (AC130 * AD130)</f>
        <v>1</v>
      </c>
    </row>
    <row r="131" customFormat="false" ht="12.75" hidden="false" customHeight="true" outlineLevel="0" collapsed="false">
      <c r="A131" s="24"/>
      <c r="B131" s="15"/>
      <c r="C131" s="15"/>
      <c r="D131" s="25"/>
      <c r="E131" s="25"/>
      <c r="F131" s="15"/>
      <c r="G131" s="15"/>
      <c r="H131" s="15"/>
      <c r="I131" s="15"/>
      <c r="J131" s="15"/>
      <c r="K131" s="26"/>
      <c r="L131" s="15"/>
      <c r="M131" s="15"/>
      <c r="N131" s="15"/>
      <c r="O131" s="15"/>
      <c r="P131" s="22" t="str">
        <f aca="false">IF(AC131&gt;=Reference!$H$2, Reference!$G$2, IF(AC131&gt;=Reference!$H$3, Reference!$G$3, IF(AC131&gt;=Reference!$H$4, Reference!$G$4, IF(AC131&gt;=Reference!$H$5, Reference!$G$5, ""))))</f>
        <v/>
      </c>
      <c r="Q131" s="22" t="str">
        <f aca="false">IF(F131="Physical", "Very Low", IF(F131="Local", "Low", IF(F131="Adjacent", "Medium", IF(F131="Network", "High", ""))))</f>
        <v/>
      </c>
      <c r="R131" s="22" t="str">
        <f aca="false">IF(AE131&gt;=Reference!$D$2, Reference!$G$2, IF(AE131&gt;=Reference!$D$3, Reference!$E$3, IF(AE131&gt;=Reference!$D$4, Reference!$E$4, IF(AE131&gt;=Reference!$D$5, Reference!$E$5, ""))))</f>
        <v>Low</v>
      </c>
      <c r="S131" s="27"/>
      <c r="T131" s="28"/>
      <c r="U131" s="15"/>
      <c r="V131" s="15"/>
      <c r="W131" s="15"/>
      <c r="Y131" s="16" t="n">
        <f aca="false">IF(H131=Reference!$A$12, Reference!$C$12, IF(H131=Reference!$A$11, Reference!$C$11, IF(H131=Reference!$A$10, Reference!$C$10, IF(H131=Reference!$A$9, Reference!$C$9, 0))))</f>
        <v>0</v>
      </c>
      <c r="Z131" s="16" t="n">
        <f aca="false">IF(J131=Reference!$A$20, Reference!$C$20, IF(J131=Reference!$A$19, Reference!$C$19, IF(J131=Reference!$A$18, Reference!$C$18, IF(J131=Reference!$A$17, Reference!$C$17, 0))))</f>
        <v>0</v>
      </c>
      <c r="AA131" s="16" t="n">
        <f aca="false">IF(L131=Reference!$A$28, Reference!$C$28, IF(L131=Reference!$A$27, Reference!$C$27, IF(L131=Reference!$A$26, Reference!$C$26, IF(L131=Reference!$A$25, Reference!$C$25, 0))))</f>
        <v>0</v>
      </c>
      <c r="AB131" s="16" t="n">
        <f aca="false">IF(N131=Reference!$A$36, Reference!$C$36, IF(N131=Reference!$A$35, Reference!$C$35, IF(N131=Reference!$A$34, Reference!$C$34, IF(N131=Reference!$A$33, Reference!$C$33, 0))))</f>
        <v>0</v>
      </c>
      <c r="AC131" s="16" t="n">
        <f aca="false">(Reference!$B$2*Y131 + Reference!$B$3*AA131 + Reference!$B$4*Z131 + Reference!$B$5 * AB131)/4</f>
        <v>0</v>
      </c>
      <c r="AD131" s="16" t="n">
        <f aca="false">IF(Q131=Reference!$C$41, Reference!$D$41, IF(Q131=Reference!$C$42, Reference!$D$42, IF(Q131=Reference!$C$43, Reference!$D$43, IF(Q131=Reference!$C$44, Reference!$D$44, 0))))</f>
        <v>0</v>
      </c>
      <c r="AE131" s="16" t="n">
        <f aca="false">1 + (AC131 * AD131)</f>
        <v>1</v>
      </c>
    </row>
    <row r="132" customFormat="false" ht="12.75" hidden="false" customHeight="true" outlineLevel="0" collapsed="false">
      <c r="A132" s="24"/>
      <c r="B132" s="15"/>
      <c r="C132" s="15"/>
      <c r="D132" s="25"/>
      <c r="E132" s="25"/>
      <c r="F132" s="15"/>
      <c r="G132" s="15"/>
      <c r="H132" s="15"/>
      <c r="I132" s="15"/>
      <c r="J132" s="15"/>
      <c r="K132" s="15"/>
      <c r="L132" s="15"/>
      <c r="M132" s="15"/>
      <c r="N132" s="15"/>
      <c r="O132" s="15"/>
      <c r="P132" s="22" t="str">
        <f aca="false">IF(AC132&gt;=Reference!$H$2, Reference!$G$2, IF(AC132&gt;=Reference!$H$3, Reference!$G$3, IF(AC132&gt;=Reference!$H$4, Reference!$G$4, IF(AC132&gt;=Reference!$H$5, Reference!$G$5, ""))))</f>
        <v/>
      </c>
      <c r="Q132" s="22" t="str">
        <f aca="false">IF(F132="Physical", "Very Low", IF(F132="Local", "Low", IF(F132="Adjacent", "Medium", IF(F132="Network", "High", ""))))</f>
        <v/>
      </c>
      <c r="R132" s="22" t="str">
        <f aca="false">IF(AE132&gt;=Reference!$D$2, Reference!$G$2, IF(AE132&gt;=Reference!$D$3, Reference!$E$3, IF(AE132&gt;=Reference!$D$4, Reference!$E$4, IF(AE132&gt;=Reference!$D$5, Reference!$E$5, ""))))</f>
        <v>Low</v>
      </c>
      <c r="S132" s="27"/>
      <c r="T132" s="38"/>
      <c r="U132" s="15"/>
      <c r="V132" s="40"/>
      <c r="W132" s="10"/>
      <c r="Y132" s="16" t="n">
        <f aca="false">IF(H132=Reference!$A$12, Reference!$C$12, IF(H132=Reference!$A$11, Reference!$C$11, IF(H132=Reference!$A$10, Reference!$C$10, IF(H132=Reference!$A$9, Reference!$C$9, 0))))</f>
        <v>0</v>
      </c>
      <c r="Z132" s="16" t="n">
        <f aca="false">IF(J132=Reference!$A$20, Reference!$C$20, IF(J132=Reference!$A$19, Reference!$C$19, IF(J132=Reference!$A$18, Reference!$C$18, IF(J132=Reference!$A$17, Reference!$C$17, 0))))</f>
        <v>0</v>
      </c>
      <c r="AA132" s="16" t="n">
        <f aca="false">IF(L132=Reference!$A$28, Reference!$C$28, IF(L132=Reference!$A$27, Reference!$C$27, IF(L132=Reference!$A$26, Reference!$C$26, IF(L132=Reference!$A$25, Reference!$C$25, 0))))</f>
        <v>0</v>
      </c>
      <c r="AB132" s="16" t="n">
        <f aca="false">IF(N132=Reference!$A$36, Reference!$C$36, IF(N132=Reference!$A$35, Reference!$C$35, IF(N132=Reference!$A$34, Reference!$C$34, IF(N132=Reference!$A$33, Reference!$C$33, 0))))</f>
        <v>0</v>
      </c>
      <c r="AC132" s="16" t="n">
        <f aca="false">(Reference!$B$2*Y132 + Reference!$B$3*AA132 + Reference!$B$4*Z132 + Reference!$B$5 * AB132)/4</f>
        <v>0</v>
      </c>
      <c r="AD132" s="16" t="n">
        <f aca="false">IF(Q132=Reference!$C$41, Reference!$D$41, IF(Q132=Reference!$C$42, Reference!$D$42, IF(Q132=Reference!$C$43, Reference!$D$43, IF(Q132=Reference!$C$44, Reference!$D$44, 0))))</f>
        <v>0</v>
      </c>
      <c r="AE132" s="16" t="n">
        <f aca="false">1 + (AC132 * AD132)</f>
        <v>1</v>
      </c>
    </row>
    <row r="133" customFormat="false" ht="12.75" hidden="false" customHeight="true" outlineLevel="0" collapsed="false">
      <c r="A133" s="24"/>
      <c r="B133" s="15"/>
      <c r="C133" s="15"/>
      <c r="D133" s="31"/>
      <c r="E133" s="25"/>
      <c r="F133" s="15"/>
      <c r="G133" s="15"/>
      <c r="H133" s="15"/>
      <c r="I133" s="15"/>
      <c r="J133" s="15"/>
      <c r="K133" s="15"/>
      <c r="L133" s="15"/>
      <c r="M133" s="15"/>
      <c r="N133" s="15"/>
      <c r="O133" s="15"/>
      <c r="P133" s="22" t="str">
        <f aca="false">IF(AC133&gt;=Reference!$H$2, Reference!$G$2, IF(AC133&gt;=Reference!$H$3, Reference!$G$3, IF(AC133&gt;=Reference!$H$4, Reference!$G$4, IF(AC133&gt;=Reference!$H$5, Reference!$G$5, ""))))</f>
        <v/>
      </c>
      <c r="Q133" s="22" t="str">
        <f aca="false">IF(F133="Physical", "Very Low", IF(F133="Local", "Low", IF(F133="Adjacent", "Medium", IF(F133="Network", "High", ""))))</f>
        <v/>
      </c>
      <c r="R133" s="22" t="str">
        <f aca="false">IF(AE133&gt;=Reference!$D$2, Reference!$G$2, IF(AE133&gt;=Reference!$D$3, Reference!$E$3, IF(AE133&gt;=Reference!$D$4, Reference!$E$4, IF(AE133&gt;=Reference!$D$5, Reference!$E$5, ""))))</f>
        <v>Low</v>
      </c>
      <c r="S133" s="27"/>
      <c r="T133" s="28"/>
      <c r="U133" s="15"/>
      <c r="V133" s="15"/>
      <c r="W133" s="15"/>
      <c r="Y133" s="16" t="n">
        <f aca="false">IF(H133=Reference!$A$12, Reference!$C$12, IF(H133=Reference!$A$11, Reference!$C$11, IF(H133=Reference!$A$10, Reference!$C$10, IF(H133=Reference!$A$9, Reference!$C$9, 0))))</f>
        <v>0</v>
      </c>
      <c r="Z133" s="16" t="n">
        <f aca="false">IF(J133=Reference!$A$20, Reference!$C$20, IF(J133=Reference!$A$19, Reference!$C$19, IF(J133=Reference!$A$18, Reference!$C$18, IF(J133=Reference!$A$17, Reference!$C$17, 0))))</f>
        <v>0</v>
      </c>
      <c r="AA133" s="16" t="n">
        <f aca="false">IF(L133=Reference!$A$28, Reference!$C$28, IF(L133=Reference!$A$27, Reference!$C$27, IF(L133=Reference!$A$26, Reference!$C$26, IF(L133=Reference!$A$25, Reference!$C$25, 0))))</f>
        <v>0</v>
      </c>
      <c r="AB133" s="16" t="n">
        <f aca="false">IF(N133=Reference!$A$36, Reference!$C$36, IF(N133=Reference!$A$35, Reference!$C$35, IF(N133=Reference!$A$34, Reference!$C$34, IF(N133=Reference!$A$33, Reference!$C$33, 0))))</f>
        <v>0</v>
      </c>
      <c r="AC133" s="16" t="n">
        <f aca="false">(Reference!$B$2*Y133 + Reference!$B$3*AA133 + Reference!$B$4*Z133 + Reference!$B$5 * AB133)/4</f>
        <v>0</v>
      </c>
      <c r="AD133" s="16" t="n">
        <f aca="false">IF(Q133=Reference!$C$41, Reference!$D$41, IF(Q133=Reference!$C$42, Reference!$D$42, IF(Q133=Reference!$C$43, Reference!$D$43, IF(Q133=Reference!$C$44, Reference!$D$44, 0))))</f>
        <v>0</v>
      </c>
      <c r="AE133" s="16" t="n">
        <f aca="false">1 + (AC133 * AD133)</f>
        <v>1</v>
      </c>
    </row>
    <row r="134" customFormat="false" ht="12.75" hidden="false" customHeight="true" outlineLevel="0" collapsed="false">
      <c r="A134" s="24"/>
      <c r="B134" s="15"/>
      <c r="C134" s="15"/>
      <c r="D134" s="25"/>
      <c r="E134" s="25"/>
      <c r="F134" s="23"/>
      <c r="G134" s="15"/>
      <c r="H134" s="15"/>
      <c r="I134" s="15"/>
      <c r="J134" s="15"/>
      <c r="K134" s="15"/>
      <c r="L134" s="15"/>
      <c r="M134" s="15"/>
      <c r="N134" s="15"/>
      <c r="O134" s="15"/>
      <c r="P134" s="22" t="str">
        <f aca="false">IF(AC134&gt;=Reference!$H$2, Reference!$G$2, IF(AC134&gt;=Reference!$H$3, Reference!$G$3, IF(AC134&gt;=Reference!$H$4, Reference!$G$4, IF(AC134&gt;=Reference!$H$5, Reference!$G$5, ""))))</f>
        <v/>
      </c>
      <c r="Q134" s="22" t="str">
        <f aca="false">IF(F134="Physical", "Very Low", IF(F134="Local", "Low", IF(F134="Adjacent", "Medium", IF(F134="Network", "High", ""))))</f>
        <v/>
      </c>
      <c r="R134" s="22" t="str">
        <f aca="false">IF(AE134&gt;=Reference!$D$2, Reference!$G$2, IF(AE134&gt;=Reference!$D$3, Reference!$E$3, IF(AE134&gt;=Reference!$D$4, Reference!$E$4, IF(AE134&gt;=Reference!$D$5, Reference!$E$5, ""))))</f>
        <v>Low</v>
      </c>
      <c r="S134" s="27"/>
      <c r="T134" s="28"/>
      <c r="U134" s="15"/>
      <c r="V134" s="15"/>
      <c r="W134" s="15"/>
      <c r="Y134" s="16" t="n">
        <f aca="false">IF(H134=Reference!$A$12, Reference!$C$12, IF(H134=Reference!$A$11, Reference!$C$11, IF(H134=Reference!$A$10, Reference!$C$10, IF(H134=Reference!$A$9, Reference!$C$9, 0))))</f>
        <v>0</v>
      </c>
      <c r="Z134" s="16" t="n">
        <f aca="false">IF(J134=Reference!$A$20, Reference!$C$20, IF(J134=Reference!$A$19, Reference!$C$19, IF(J134=Reference!$A$18, Reference!$C$18, IF(J134=Reference!$A$17, Reference!$C$17, 0))))</f>
        <v>0</v>
      </c>
      <c r="AA134" s="16" t="n">
        <f aca="false">IF(L134=Reference!$A$28, Reference!$C$28, IF(L134=Reference!$A$27, Reference!$C$27, IF(L134=Reference!$A$26, Reference!$C$26, IF(L134=Reference!$A$25, Reference!$C$25, 0))))</f>
        <v>0</v>
      </c>
      <c r="AB134" s="16" t="n">
        <f aca="false">IF(N134=Reference!$A$36, Reference!$C$36, IF(N134=Reference!$A$35, Reference!$C$35, IF(N134=Reference!$A$34, Reference!$C$34, IF(N134=Reference!$A$33, Reference!$C$33, 0))))</f>
        <v>0</v>
      </c>
      <c r="AC134" s="16" t="n">
        <f aca="false">(Reference!$B$2*Y134 + Reference!$B$3*AA134 + Reference!$B$4*Z134 + Reference!$B$5 * AB134)/4</f>
        <v>0</v>
      </c>
      <c r="AD134" s="16" t="n">
        <f aca="false">IF(Q134=Reference!$C$41, Reference!$D$41, IF(Q134=Reference!$C$42, Reference!$D$42, IF(Q134=Reference!$C$43, Reference!$D$43, IF(Q134=Reference!$C$44, Reference!$D$44, 0))))</f>
        <v>0</v>
      </c>
      <c r="AE134" s="16" t="n">
        <f aca="false">1 + (AC134 * AD134)</f>
        <v>1</v>
      </c>
    </row>
    <row r="135" customFormat="false" ht="14.25" hidden="false" customHeight="true" outlineLevel="0" collapsed="false">
      <c r="A135" s="24"/>
      <c r="B135" s="15"/>
      <c r="C135" s="15"/>
      <c r="D135" s="30"/>
      <c r="E135" s="15"/>
      <c r="F135" s="15"/>
      <c r="G135" s="30"/>
      <c r="H135" s="15"/>
      <c r="I135" s="15"/>
      <c r="J135" s="15"/>
      <c r="K135" s="15"/>
      <c r="L135" s="15"/>
      <c r="M135" s="15"/>
      <c r="N135" s="15"/>
      <c r="O135" s="15"/>
      <c r="P135" s="22" t="str">
        <f aca="false">IF(AC135&gt;=Reference!$H$2, Reference!$G$2, IF(AC135&gt;=Reference!$H$3, Reference!$G$3, IF(AC135&gt;=Reference!$H$4, Reference!$G$4, IF(AC135&gt;=Reference!$H$5, Reference!$G$5, ""))))</f>
        <v/>
      </c>
      <c r="Q135" s="22" t="str">
        <f aca="false">IF(F135="Physical", "Very Low", IF(F135="Local", "Low", IF(F135="Adjacent", "Medium", IF(F135="Network", "High", ""))))</f>
        <v/>
      </c>
      <c r="R135" s="22" t="str">
        <f aca="false">IF(AE135&gt;=Reference!$D$2, Reference!$G$2, IF(AE135&gt;=Reference!$D$3, Reference!$E$3, IF(AE135&gt;=Reference!$D$4, Reference!$E$4, IF(AE135&gt;=Reference!$D$5, Reference!$E$5, ""))))</f>
        <v>Low</v>
      </c>
      <c r="S135" s="27"/>
      <c r="T135" s="28"/>
      <c r="U135" s="15"/>
      <c r="V135" s="15"/>
      <c r="W135" s="15"/>
      <c r="Y135" s="16" t="n">
        <f aca="false">IF(H135=Reference!$A$12, Reference!$C$12, IF(H135=Reference!$A$11, Reference!$C$11, IF(H135=Reference!$A$10, Reference!$C$10, IF(H135=Reference!$A$9, Reference!$C$9, 0))))</f>
        <v>0</v>
      </c>
      <c r="Z135" s="16" t="n">
        <f aca="false">IF(J135=Reference!$A$20, Reference!$C$20, IF(J135=Reference!$A$19, Reference!$C$19, IF(J135=Reference!$A$18, Reference!$C$18, IF(J135=Reference!$A$17, Reference!$C$17, 0))))</f>
        <v>0</v>
      </c>
      <c r="AA135" s="16" t="n">
        <f aca="false">IF(L135=Reference!$A$28, Reference!$C$28, IF(L135=Reference!$A$27, Reference!$C$27, IF(L135=Reference!$A$26, Reference!$C$26, IF(L135=Reference!$A$25, Reference!$C$25, 0))))</f>
        <v>0</v>
      </c>
      <c r="AB135" s="16" t="n">
        <f aca="false">IF(N135=Reference!$A$36, Reference!$C$36, IF(N135=Reference!$A$35, Reference!$C$35, IF(N135=Reference!$A$34, Reference!$C$34, IF(N135=Reference!$A$33, Reference!$C$33, 0))))</f>
        <v>0</v>
      </c>
      <c r="AC135" s="16" t="n">
        <f aca="false">(Reference!$B$2*Y135 + Reference!$B$3*AA135 + Reference!$B$4*Z135 + Reference!$B$5 * AB135)/4</f>
        <v>0</v>
      </c>
      <c r="AD135" s="16" t="n">
        <f aca="false">IF(Q135=Reference!$C$41, Reference!$D$41, IF(Q135=Reference!$C$42, Reference!$D$42, IF(Q135=Reference!$C$43, Reference!$D$43, IF(Q135=Reference!$C$44, Reference!$D$44, 0))))</f>
        <v>0</v>
      </c>
      <c r="AE135" s="16" t="n">
        <f aca="false">1 + (AC135 * AD135)</f>
        <v>1</v>
      </c>
    </row>
    <row r="136" customFormat="false" ht="12.75" hidden="false" customHeight="true" outlineLevel="0" collapsed="false">
      <c r="A136" s="24"/>
      <c r="B136" s="15"/>
      <c r="C136" s="15"/>
      <c r="D136" s="25"/>
      <c r="E136" s="25"/>
      <c r="F136" s="15"/>
      <c r="G136" s="15"/>
      <c r="H136" s="15"/>
      <c r="I136" s="15"/>
      <c r="J136" s="15"/>
      <c r="K136" s="15"/>
      <c r="L136" s="15"/>
      <c r="M136" s="15"/>
      <c r="N136" s="15"/>
      <c r="O136" s="15"/>
      <c r="P136" s="22" t="str">
        <f aca="false">IF(AC136&gt;=Reference!$H$2, Reference!$G$2, IF(AC136&gt;=Reference!$H$3, Reference!$G$3, IF(AC136&gt;=Reference!$H$4, Reference!$G$4, IF(AC136&gt;=Reference!$H$5, Reference!$G$5, ""))))</f>
        <v/>
      </c>
      <c r="Q136" s="22" t="str">
        <f aca="false">IF(F136="Physical", "Very Low", IF(F136="Local", "Low", IF(F136="Adjacent", "Medium", IF(F136="Network", "High", ""))))</f>
        <v/>
      </c>
      <c r="R136" s="22" t="str">
        <f aca="false">IF(AE136&gt;=Reference!$D$2, Reference!$G$2, IF(AE136&gt;=Reference!$D$3, Reference!$E$3, IF(AE136&gt;=Reference!$D$4, Reference!$E$4, IF(AE136&gt;=Reference!$D$5, Reference!$E$5, ""))))</f>
        <v>Low</v>
      </c>
      <c r="S136" s="27"/>
      <c r="T136" s="42"/>
      <c r="U136" s="15"/>
      <c r="V136" s="15"/>
      <c r="W136" s="33"/>
      <c r="Y136" s="16" t="n">
        <f aca="false">IF(H136=Reference!$A$12, Reference!$C$12, IF(H136=Reference!$A$11, Reference!$C$11, IF(H136=Reference!$A$10, Reference!$C$10, IF(H136=Reference!$A$9, Reference!$C$9, 0))))</f>
        <v>0</v>
      </c>
      <c r="Z136" s="16" t="n">
        <f aca="false">IF(J136=Reference!$A$20, Reference!$C$20, IF(J136=Reference!$A$19, Reference!$C$19, IF(J136=Reference!$A$18, Reference!$C$18, IF(J136=Reference!$A$17, Reference!$C$17, 0))))</f>
        <v>0</v>
      </c>
      <c r="AA136" s="16" t="n">
        <f aca="false">IF(L136=Reference!$A$28, Reference!$C$28, IF(L136=Reference!$A$27, Reference!$C$27, IF(L136=Reference!$A$26, Reference!$C$26, IF(L136=Reference!$A$25, Reference!$C$25, 0))))</f>
        <v>0</v>
      </c>
      <c r="AB136" s="16" t="n">
        <f aca="false">IF(N136=Reference!$A$36, Reference!$C$36, IF(N136=Reference!$A$35, Reference!$C$35, IF(N136=Reference!$A$34, Reference!$C$34, IF(N136=Reference!$A$33, Reference!$C$33, 0))))</f>
        <v>0</v>
      </c>
      <c r="AC136" s="16" t="n">
        <f aca="false">(Reference!$B$2*Y136 + Reference!$B$3*AA136 + Reference!$B$4*Z136 + Reference!$B$5 * AB136)/4</f>
        <v>0</v>
      </c>
      <c r="AD136" s="16" t="n">
        <f aca="false">IF(Q136=Reference!$C$41, Reference!$D$41, IF(Q136=Reference!$C$42, Reference!$D$42, IF(Q136=Reference!$C$43, Reference!$D$43, IF(Q136=Reference!$C$44, Reference!$D$44, 0))))</f>
        <v>0</v>
      </c>
      <c r="AE136" s="16" t="n">
        <f aca="false">1 + (AC136 * AD136)</f>
        <v>1</v>
      </c>
    </row>
    <row r="137" customFormat="false" ht="12.75" hidden="false" customHeight="true" outlineLevel="0" collapsed="false">
      <c r="A137" s="24"/>
      <c r="B137" s="15"/>
      <c r="C137" s="15"/>
      <c r="D137" s="25"/>
      <c r="E137" s="25"/>
      <c r="F137" s="15"/>
      <c r="G137" s="15"/>
      <c r="H137" s="15"/>
      <c r="I137" s="15"/>
      <c r="J137" s="15"/>
      <c r="K137" s="15"/>
      <c r="L137" s="15"/>
      <c r="M137" s="15"/>
      <c r="N137" s="15"/>
      <c r="O137" s="15"/>
      <c r="P137" s="22" t="str">
        <f aca="false">IF(AC137&gt;=Reference!$H$2, Reference!$G$2, IF(AC137&gt;=Reference!$H$3, Reference!$G$3, IF(AC137&gt;=Reference!$H$4, Reference!$G$4, IF(AC137&gt;=Reference!$H$5, Reference!$G$5, ""))))</f>
        <v/>
      </c>
      <c r="Q137" s="22" t="str">
        <f aca="false">IF(F137="Physical", "Very Low", IF(F137="Local", "Low", IF(F137="Adjacent", "Medium", IF(F137="Network", "High", ""))))</f>
        <v/>
      </c>
      <c r="R137" s="22" t="str">
        <f aca="false">IF(AE137&gt;=Reference!$D$2, Reference!$G$2, IF(AE137&gt;=Reference!$D$3, Reference!$E$3, IF(AE137&gt;=Reference!$D$4, Reference!$E$4, IF(AE137&gt;=Reference!$D$5, Reference!$E$5, ""))))</f>
        <v>Low</v>
      </c>
      <c r="S137" s="27"/>
      <c r="T137" s="28"/>
      <c r="U137" s="15"/>
      <c r="V137" s="15"/>
      <c r="W137" s="15"/>
      <c r="Y137" s="16" t="n">
        <f aca="false">IF(H137=Reference!$A$12, Reference!$C$12, IF(H137=Reference!$A$11, Reference!$C$11, IF(H137=Reference!$A$10, Reference!$C$10, IF(H137=Reference!$A$9, Reference!$C$9, 0))))</f>
        <v>0</v>
      </c>
      <c r="Z137" s="16" t="n">
        <f aca="false">IF(J137=Reference!$A$20, Reference!$C$20, IF(J137=Reference!$A$19, Reference!$C$19, IF(J137=Reference!$A$18, Reference!$C$18, IF(J137=Reference!$A$17, Reference!$C$17, 0))))</f>
        <v>0</v>
      </c>
      <c r="AA137" s="16" t="n">
        <f aca="false">IF(L137=Reference!$A$28, Reference!$C$28, IF(L137=Reference!$A$27, Reference!$C$27, IF(L137=Reference!$A$26, Reference!$C$26, IF(L137=Reference!$A$25, Reference!$C$25, 0))))</f>
        <v>0</v>
      </c>
      <c r="AB137" s="16" t="n">
        <f aca="false">IF(N137=Reference!$A$36, Reference!$C$36, IF(N137=Reference!$A$35, Reference!$C$35, IF(N137=Reference!$A$34, Reference!$C$34, IF(N137=Reference!$A$33, Reference!$C$33, 0))))</f>
        <v>0</v>
      </c>
      <c r="AC137" s="16" t="n">
        <f aca="false">(Reference!$B$2*Y137 + Reference!$B$3*AA137 + Reference!$B$4*Z137 + Reference!$B$5 * AB137)/4</f>
        <v>0</v>
      </c>
      <c r="AD137" s="16" t="n">
        <f aca="false">IF(Q137=Reference!$C$41, Reference!$D$41, IF(Q137=Reference!$C$42, Reference!$D$42, IF(Q137=Reference!$C$43, Reference!$D$43, IF(Q137=Reference!$C$44, Reference!$D$44, 0))))</f>
        <v>0</v>
      </c>
      <c r="AE137" s="16" t="n">
        <f aca="false">1 + (AC137 * AD137)</f>
        <v>1</v>
      </c>
    </row>
    <row r="138" customFormat="false" ht="12.75" hidden="false" customHeight="true" outlineLevel="0" collapsed="false">
      <c r="A138" s="24"/>
      <c r="B138" s="15"/>
      <c r="C138" s="15"/>
      <c r="E138" s="25"/>
      <c r="F138" s="15"/>
      <c r="G138" s="15"/>
      <c r="H138" s="15"/>
      <c r="I138" s="15"/>
      <c r="J138" s="15"/>
      <c r="K138" s="15"/>
      <c r="L138" s="15"/>
      <c r="M138" s="15"/>
      <c r="N138" s="15"/>
      <c r="O138" s="15"/>
      <c r="P138" s="22" t="str">
        <f aca="false">IF(AC138&gt;=Reference!$H$2, Reference!$G$2, IF(AC138&gt;=Reference!$H$3, Reference!$G$3, IF(AC138&gt;=Reference!$H$4, Reference!$G$4, IF(AC138&gt;=Reference!$H$5, Reference!$G$5, ""))))</f>
        <v/>
      </c>
      <c r="Q138" s="22" t="str">
        <f aca="false">IF(F138="Physical", "Very Low", IF(F138="Local", "Low", IF(F138="Adjacent", "Medium", IF(F138="Network", "High", ""))))</f>
        <v/>
      </c>
      <c r="R138" s="22" t="str">
        <f aca="false">IF(AE138&gt;=Reference!$D$2, Reference!$G$2, IF(AE138&gt;=Reference!$D$3, Reference!$E$3, IF(AE138&gt;=Reference!$D$4, Reference!$E$4, IF(AE138&gt;=Reference!$D$5, Reference!$E$5, ""))))</f>
        <v>Low</v>
      </c>
      <c r="S138" s="27"/>
      <c r="T138" s="28"/>
      <c r="U138" s="15"/>
      <c r="V138" s="15"/>
      <c r="W138" s="15"/>
      <c r="Y138" s="16" t="n">
        <f aca="false">IF(H138=Reference!$A$12, Reference!$C$12, IF(H138=Reference!$A$11, Reference!$C$11, IF(H138=Reference!$A$10, Reference!$C$10, IF(H138=Reference!$A$9, Reference!$C$9, 0))))</f>
        <v>0</v>
      </c>
      <c r="Z138" s="16" t="n">
        <f aca="false">IF(J138=Reference!$A$20, Reference!$C$20, IF(J138=Reference!$A$19, Reference!$C$19, IF(J138=Reference!$A$18, Reference!$C$18, IF(J138=Reference!$A$17, Reference!$C$17, 0))))</f>
        <v>0</v>
      </c>
      <c r="AA138" s="16" t="n">
        <f aca="false">IF(L138=Reference!$A$28, Reference!$C$28, IF(L138=Reference!$A$27, Reference!$C$27, IF(L138=Reference!$A$26, Reference!$C$26, IF(L138=Reference!$A$25, Reference!$C$25, 0))))</f>
        <v>0</v>
      </c>
      <c r="AB138" s="16" t="n">
        <f aca="false">IF(N138=Reference!$A$36, Reference!$C$36, IF(N138=Reference!$A$35, Reference!$C$35, IF(N138=Reference!$A$34, Reference!$C$34, IF(N138=Reference!$A$33, Reference!$C$33, 0))))</f>
        <v>0</v>
      </c>
      <c r="AC138" s="16" t="n">
        <f aca="false">(Reference!$B$2*Y138 + Reference!$B$3*AA138 + Reference!$B$4*Z138 + Reference!$B$5 * AB138)/4</f>
        <v>0</v>
      </c>
      <c r="AD138" s="16" t="n">
        <f aca="false">IF(Q138=Reference!$C$41, Reference!$D$41, IF(Q138=Reference!$C$42, Reference!$D$42, IF(Q138=Reference!$C$43, Reference!$D$43, IF(Q138=Reference!$C$44, Reference!$D$44, 0))))</f>
        <v>0</v>
      </c>
      <c r="AE138" s="16" t="n">
        <f aca="false">1 + (AC138 * AD138)</f>
        <v>1</v>
      </c>
    </row>
    <row r="139" customFormat="false" ht="12.75" hidden="false" customHeight="true" outlineLevel="0" collapsed="false">
      <c r="A139" s="24"/>
      <c r="B139" s="15"/>
      <c r="C139" s="15"/>
      <c r="D139" s="25"/>
      <c r="E139" s="25"/>
      <c r="F139" s="15"/>
      <c r="G139" s="15"/>
      <c r="H139" s="15"/>
      <c r="I139" s="15"/>
      <c r="J139" s="15"/>
      <c r="K139" s="15"/>
      <c r="L139" s="15"/>
      <c r="M139" s="15"/>
      <c r="N139" s="15"/>
      <c r="O139" s="15"/>
      <c r="P139" s="22" t="str">
        <f aca="false">IF(AC139&gt;=Reference!$H$2, Reference!$G$2, IF(AC139&gt;=Reference!$H$3, Reference!$G$3, IF(AC139&gt;=Reference!$H$4, Reference!$G$4, IF(AC139&gt;=Reference!$H$5, Reference!$G$5, ""))))</f>
        <v/>
      </c>
      <c r="Q139" s="22" t="str">
        <f aca="false">IF(F139="Physical", "Very Low", IF(F139="Local", "Low", IF(F139="Adjacent", "Medium", IF(F139="Network", "High", ""))))</f>
        <v/>
      </c>
      <c r="R139" s="22" t="str">
        <f aca="false">IF(AE139&gt;=Reference!$D$2, Reference!$G$2, IF(AE139&gt;=Reference!$D$3, Reference!$E$3, IF(AE139&gt;=Reference!$D$4, Reference!$E$4, IF(AE139&gt;=Reference!$D$5, Reference!$E$5, ""))))</f>
        <v>Low</v>
      </c>
      <c r="S139" s="27"/>
      <c r="T139" s="38"/>
      <c r="U139" s="15"/>
      <c r="V139" s="10"/>
      <c r="W139" s="15"/>
      <c r="Y139" s="16" t="n">
        <f aca="false">IF(H139=Reference!$A$12, Reference!$C$12, IF(H139=Reference!$A$11, Reference!$C$11, IF(H139=Reference!$A$10, Reference!$C$10, IF(H139=Reference!$A$9, Reference!$C$9, 0))))</f>
        <v>0</v>
      </c>
      <c r="Z139" s="16" t="n">
        <f aca="false">IF(J139=Reference!$A$20, Reference!$C$20, IF(J139=Reference!$A$19, Reference!$C$19, IF(J139=Reference!$A$18, Reference!$C$18, IF(J139=Reference!$A$17, Reference!$C$17, 0))))</f>
        <v>0</v>
      </c>
      <c r="AA139" s="16" t="n">
        <f aca="false">IF(L139=Reference!$A$28, Reference!$C$28, IF(L139=Reference!$A$27, Reference!$C$27, IF(L139=Reference!$A$26, Reference!$C$26, IF(L139=Reference!$A$25, Reference!$C$25, 0))))</f>
        <v>0</v>
      </c>
      <c r="AB139" s="16" t="n">
        <f aca="false">IF(N139=Reference!$A$36, Reference!$C$36, IF(N139=Reference!$A$35, Reference!$C$35, IF(N139=Reference!$A$34, Reference!$C$34, IF(N139=Reference!$A$33, Reference!$C$33, 0))))</f>
        <v>0</v>
      </c>
      <c r="AC139" s="16" t="n">
        <f aca="false">(Reference!$B$2*Y139 + Reference!$B$3*AA139 + Reference!$B$4*Z139 + Reference!$B$5 * AB139)/4</f>
        <v>0</v>
      </c>
      <c r="AD139" s="16" t="n">
        <f aca="false">IF(Q139=Reference!$C$41, Reference!$D$41, IF(Q139=Reference!$C$42, Reference!$D$42, IF(Q139=Reference!$C$43, Reference!$D$43, IF(Q139=Reference!$C$44, Reference!$D$44, 0))))</f>
        <v>0</v>
      </c>
      <c r="AE139" s="16" t="n">
        <f aca="false">1 + (AC139 * AD139)</f>
        <v>1</v>
      </c>
    </row>
    <row r="140" customFormat="false" ht="12.75" hidden="false" customHeight="true" outlineLevel="0" collapsed="false">
      <c r="A140" s="24"/>
      <c r="B140" s="15"/>
      <c r="C140" s="15"/>
      <c r="D140" s="25"/>
      <c r="E140" s="31"/>
      <c r="F140" s="15"/>
      <c r="G140" s="15"/>
      <c r="H140" s="15"/>
      <c r="I140" s="15"/>
      <c r="J140" s="15"/>
      <c r="K140" s="15"/>
      <c r="L140" s="15"/>
      <c r="M140" s="26"/>
      <c r="N140" s="15"/>
      <c r="O140" s="15"/>
      <c r="P140" s="22" t="str">
        <f aca="false">IF(AC140&gt;=Reference!$H$2, Reference!$G$2, IF(AC140&gt;=Reference!$H$3, Reference!$G$3, IF(AC140&gt;=Reference!$H$4, Reference!$G$4, IF(AC140&gt;=Reference!$H$5, Reference!$G$5, ""))))</f>
        <v/>
      </c>
      <c r="Q140" s="22" t="str">
        <f aca="false">IF(F140="Physical", "Very Low", IF(F140="Local", "Low", IF(F140="Adjacent", "Medium", IF(F140="Network", "High", ""))))</f>
        <v/>
      </c>
      <c r="R140" s="22" t="str">
        <f aca="false">IF(AE140&gt;=Reference!$D$2, Reference!$G$2, IF(AE140&gt;=Reference!$D$3, Reference!$E$3, IF(AE140&gt;=Reference!$D$4, Reference!$E$4, IF(AE140&gt;=Reference!$D$5, Reference!$E$5, ""))))</f>
        <v>Low</v>
      </c>
      <c r="S140" s="27"/>
      <c r="T140" s="38"/>
      <c r="U140" s="15"/>
      <c r="V140" s="10"/>
      <c r="W140" s="15"/>
      <c r="Y140" s="16" t="n">
        <f aca="false">IF(H140=Reference!$A$12, Reference!$C$12, IF(H140=Reference!$A$11, Reference!$C$11, IF(H140=Reference!$A$10, Reference!$C$10, IF(H140=Reference!$A$9, Reference!$C$9, 0))))</f>
        <v>0</v>
      </c>
      <c r="Z140" s="16" t="n">
        <f aca="false">IF(J140=Reference!$A$20, Reference!$C$20, IF(J140=Reference!$A$19, Reference!$C$19, IF(J140=Reference!$A$18, Reference!$C$18, IF(J140=Reference!$A$17, Reference!$C$17, 0))))</f>
        <v>0</v>
      </c>
      <c r="AA140" s="16" t="n">
        <f aca="false">IF(L140=Reference!$A$28, Reference!$C$28, IF(L140=Reference!$A$27, Reference!$C$27, IF(L140=Reference!$A$26, Reference!$C$26, IF(L140=Reference!$A$25, Reference!$C$25, 0))))</f>
        <v>0</v>
      </c>
      <c r="AB140" s="16" t="n">
        <f aca="false">IF(N140=Reference!$A$36, Reference!$C$36, IF(N140=Reference!$A$35, Reference!$C$35, IF(N140=Reference!$A$34, Reference!$C$34, IF(N140=Reference!$A$33, Reference!$C$33, 0))))</f>
        <v>0</v>
      </c>
      <c r="AC140" s="16" t="n">
        <f aca="false">(Reference!$B$2*Y140 + Reference!$B$3*AA140 + Reference!$B$4*Z140 + Reference!$B$5 * AB140)/4</f>
        <v>0</v>
      </c>
      <c r="AD140" s="16" t="n">
        <f aca="false">IF(Q140=Reference!$C$41, Reference!$D$41, IF(Q140=Reference!$C$42, Reference!$D$42, IF(Q140=Reference!$C$43, Reference!$D$43, IF(Q140=Reference!$C$44, Reference!$D$44, 0))))</f>
        <v>0</v>
      </c>
      <c r="AE140" s="16" t="n">
        <f aca="false">1 + (AC140 * AD140)</f>
        <v>1</v>
      </c>
    </row>
    <row r="141" customFormat="false" ht="12.75" hidden="false" customHeight="true" outlineLevel="0" collapsed="false">
      <c r="A141" s="24"/>
      <c r="B141" s="15"/>
      <c r="C141" s="15"/>
      <c r="D141" s="25"/>
      <c r="E141" s="25"/>
      <c r="F141" s="15"/>
      <c r="G141" s="15"/>
      <c r="H141" s="15"/>
      <c r="I141" s="15"/>
      <c r="J141" s="15"/>
      <c r="K141" s="15"/>
      <c r="L141" s="15"/>
      <c r="M141" s="15"/>
      <c r="N141" s="15"/>
      <c r="O141" s="15"/>
      <c r="P141" s="22" t="str">
        <f aca="false">IF(AC141&gt;=Reference!$H$2, Reference!$G$2, IF(AC141&gt;=Reference!$H$3, Reference!$G$3, IF(AC141&gt;=Reference!$H$4, Reference!$G$4, IF(AC141&gt;=Reference!$H$5, Reference!$G$5, ""))))</f>
        <v/>
      </c>
      <c r="Q141" s="22" t="str">
        <f aca="false">IF(F141="Physical", "Very Low", IF(F141="Local", "Low", IF(F141="Adjacent", "Medium", IF(F141="Network", "High", ""))))</f>
        <v/>
      </c>
      <c r="R141" s="22" t="str">
        <f aca="false">IF(AE141&gt;=Reference!$D$2, Reference!$G$2, IF(AE141&gt;=Reference!$D$3, Reference!$E$3, IF(AE141&gt;=Reference!$D$4, Reference!$E$4, IF(AE141&gt;=Reference!$D$5, Reference!$E$5, ""))))</f>
        <v>Low</v>
      </c>
      <c r="S141" s="27"/>
      <c r="T141" s="26"/>
      <c r="U141" s="15"/>
      <c r="V141" s="15"/>
      <c r="W141" s="15"/>
      <c r="Y141" s="16" t="n">
        <f aca="false">IF(H141=Reference!$A$12, Reference!$C$12, IF(H141=Reference!$A$11, Reference!$C$11, IF(H141=Reference!$A$10, Reference!$C$10, IF(H141=Reference!$A$9, Reference!$C$9, 0))))</f>
        <v>0</v>
      </c>
      <c r="Z141" s="16" t="n">
        <f aca="false">IF(J141=Reference!$A$20, Reference!$C$20, IF(J141=Reference!$A$19, Reference!$C$19, IF(J141=Reference!$A$18, Reference!$C$18, IF(J141=Reference!$A$17, Reference!$C$17, 0))))</f>
        <v>0</v>
      </c>
      <c r="AA141" s="16" t="n">
        <f aca="false">IF(L141=Reference!$A$28, Reference!$C$28, IF(L141=Reference!$A$27, Reference!$C$27, IF(L141=Reference!$A$26, Reference!$C$26, IF(L141=Reference!$A$25, Reference!$C$25, 0))))</f>
        <v>0</v>
      </c>
      <c r="AB141" s="16" t="n">
        <f aca="false">IF(N141=Reference!$A$36, Reference!$C$36, IF(N141=Reference!$A$35, Reference!$C$35, IF(N141=Reference!$A$34, Reference!$C$34, IF(N141=Reference!$A$33, Reference!$C$33, 0))))</f>
        <v>0</v>
      </c>
      <c r="AC141" s="16" t="n">
        <f aca="false">(Reference!$B$2*Y141 + Reference!$B$3*AA141 + Reference!$B$4*Z141 + Reference!$B$5 * AB141)/4</f>
        <v>0</v>
      </c>
      <c r="AD141" s="16" t="n">
        <f aca="false">IF(Q141=Reference!$C$41, Reference!$D$41, IF(Q141=Reference!$C$42, Reference!$D$42, IF(Q141=Reference!$C$43, Reference!$D$43, IF(Q141=Reference!$C$44, Reference!$D$44, 0))))</f>
        <v>0</v>
      </c>
      <c r="AE141" s="16" t="n">
        <f aca="false">1 + (AC141 * AD141)</f>
        <v>1</v>
      </c>
    </row>
    <row r="142" customFormat="false" ht="12.75" hidden="false" customHeight="true" outlineLevel="0" collapsed="false">
      <c r="A142" s="24"/>
      <c r="B142" s="15"/>
      <c r="C142" s="15"/>
      <c r="D142" s="25"/>
      <c r="E142" s="25"/>
      <c r="F142" s="15"/>
      <c r="G142" s="26"/>
      <c r="H142" s="15"/>
      <c r="I142" s="15"/>
      <c r="J142" s="15"/>
      <c r="K142" s="15"/>
      <c r="L142" s="15"/>
      <c r="M142" s="15"/>
      <c r="N142" s="15"/>
      <c r="O142" s="15"/>
      <c r="P142" s="22" t="str">
        <f aca="false">IF(AC142&gt;=Reference!$H$2, Reference!$G$2, IF(AC142&gt;=Reference!$H$3, Reference!$G$3, IF(AC142&gt;=Reference!$H$4, Reference!$G$4, IF(AC142&gt;=Reference!$H$5, Reference!$G$5, ""))))</f>
        <v/>
      </c>
      <c r="Q142" s="22" t="str">
        <f aca="false">IF(F142="Physical", "Very Low", IF(F142="Local", "Low", IF(F142="Adjacent", "Medium", IF(F142="Network", "High", ""))))</f>
        <v/>
      </c>
      <c r="R142" s="22" t="str">
        <f aca="false">IF(AE142&gt;=Reference!$D$2, Reference!$G$2, IF(AE142&gt;=Reference!$D$3, Reference!$E$3, IF(AE142&gt;=Reference!$D$4, Reference!$E$4, IF(AE142&gt;=Reference!$D$5, Reference!$E$5, ""))))</f>
        <v>Low</v>
      </c>
      <c r="S142" s="27"/>
      <c r="T142" s="32"/>
      <c r="U142" s="15"/>
      <c r="V142" s="15"/>
      <c r="W142" s="33"/>
      <c r="Y142" s="16" t="n">
        <f aca="false">IF(H142=Reference!$A$12, Reference!$C$12, IF(H142=Reference!$A$11, Reference!$C$11, IF(H142=Reference!$A$10, Reference!$C$10, IF(H142=Reference!$A$9, Reference!$C$9, 0))))</f>
        <v>0</v>
      </c>
      <c r="Z142" s="16" t="n">
        <f aca="false">IF(J142=Reference!$A$20, Reference!$C$20, IF(J142=Reference!$A$19, Reference!$C$19, IF(J142=Reference!$A$18, Reference!$C$18, IF(J142=Reference!$A$17, Reference!$C$17, 0))))</f>
        <v>0</v>
      </c>
      <c r="AA142" s="16" t="n">
        <f aca="false">IF(L142=Reference!$A$28, Reference!$C$28, IF(L142=Reference!$A$27, Reference!$C$27, IF(L142=Reference!$A$26, Reference!$C$26, IF(L142=Reference!$A$25, Reference!$C$25, 0))))</f>
        <v>0</v>
      </c>
      <c r="AB142" s="16" t="n">
        <f aca="false">IF(N142=Reference!$A$36, Reference!$C$36, IF(N142=Reference!$A$35, Reference!$C$35, IF(N142=Reference!$A$34, Reference!$C$34, IF(N142=Reference!$A$33, Reference!$C$33, 0))))</f>
        <v>0</v>
      </c>
      <c r="AC142" s="16" t="n">
        <f aca="false">(Reference!$B$2*Y142 + Reference!$B$3*AA142 + Reference!$B$4*Z142 + Reference!$B$5 * AB142)/4</f>
        <v>0</v>
      </c>
      <c r="AD142" s="16" t="n">
        <f aca="false">IF(Q142=Reference!$C$41, Reference!$D$41, IF(Q142=Reference!$C$42, Reference!$D$42, IF(Q142=Reference!$C$43, Reference!$D$43, IF(Q142=Reference!$C$44, Reference!$D$44, 0))))</f>
        <v>0</v>
      </c>
      <c r="AE142" s="16" t="n">
        <f aca="false">1 + (AC142 * AD142)</f>
        <v>1</v>
      </c>
    </row>
    <row r="143" customFormat="false" ht="12.75" hidden="false" customHeight="true" outlineLevel="0" collapsed="false">
      <c r="A143" s="24"/>
      <c r="B143" s="15"/>
      <c r="C143" s="15"/>
      <c r="D143" s="25"/>
      <c r="E143" s="25"/>
      <c r="F143" s="15"/>
      <c r="G143" s="15"/>
      <c r="H143" s="15"/>
      <c r="I143" s="39"/>
      <c r="J143" s="15"/>
      <c r="K143" s="26"/>
      <c r="L143" s="15"/>
      <c r="M143" s="15"/>
      <c r="N143" s="15"/>
      <c r="O143" s="39"/>
      <c r="P143" s="22" t="str">
        <f aca="false">IF(AC143&gt;=Reference!$H$2, Reference!$G$2, IF(AC143&gt;=Reference!$H$3, Reference!$G$3, IF(AC143&gt;=Reference!$H$4, Reference!$G$4, IF(AC143&gt;=Reference!$H$5, Reference!$G$5, ""))))</f>
        <v/>
      </c>
      <c r="Q143" s="22" t="str">
        <f aca="false">IF(F143="Physical", "Very Low", IF(F143="Local", "Low", IF(F143="Adjacent", "Medium", IF(F143="Network", "High", ""))))</f>
        <v/>
      </c>
      <c r="R143" s="22" t="str">
        <f aca="false">IF(AE143&gt;=Reference!$D$2, Reference!$G$2, IF(AE143&gt;=Reference!$D$3, Reference!$E$3, IF(AE143&gt;=Reference!$D$4, Reference!$E$4, IF(AE143&gt;=Reference!$D$5, Reference!$E$5, ""))))</f>
        <v>Low</v>
      </c>
      <c r="S143" s="27"/>
      <c r="T143" s="28"/>
      <c r="U143" s="15"/>
      <c r="V143" s="15"/>
      <c r="W143" s="15"/>
      <c r="Y143" s="16" t="n">
        <f aca="false">IF(H143=Reference!$A$12, Reference!$C$12, IF(H143=Reference!$A$11, Reference!$C$11, IF(H143=Reference!$A$10, Reference!$C$10, IF(H143=Reference!$A$9, Reference!$C$9, 0))))</f>
        <v>0</v>
      </c>
      <c r="Z143" s="16" t="n">
        <f aca="false">IF(J143=Reference!$A$20, Reference!$C$20, IF(J143=Reference!$A$19, Reference!$C$19, IF(J143=Reference!$A$18, Reference!$C$18, IF(J143=Reference!$A$17, Reference!$C$17, 0))))</f>
        <v>0</v>
      </c>
      <c r="AA143" s="16" t="n">
        <f aca="false">IF(L143=Reference!$A$28, Reference!$C$28, IF(L143=Reference!$A$27, Reference!$C$27, IF(L143=Reference!$A$26, Reference!$C$26, IF(L143=Reference!$A$25, Reference!$C$25, 0))))</f>
        <v>0</v>
      </c>
      <c r="AB143" s="16" t="n">
        <f aca="false">IF(N143=Reference!$A$36, Reference!$C$36, IF(N143=Reference!$A$35, Reference!$C$35, IF(N143=Reference!$A$34, Reference!$C$34, IF(N143=Reference!$A$33, Reference!$C$33, 0))))</f>
        <v>0</v>
      </c>
      <c r="AC143" s="16" t="n">
        <f aca="false">(Reference!$B$2*Y143 + Reference!$B$3*AA143 + Reference!$B$4*Z143 + Reference!$B$5 * AB143)/4</f>
        <v>0</v>
      </c>
      <c r="AD143" s="16" t="n">
        <f aca="false">IF(Q143=Reference!$C$41, Reference!$D$41, IF(Q143=Reference!$C$42, Reference!$D$42, IF(Q143=Reference!$C$43, Reference!$D$43, IF(Q143=Reference!$C$44, Reference!$D$44, 0))))</f>
        <v>0</v>
      </c>
      <c r="AE143" s="16" t="n">
        <f aca="false">1 + (AC143 * AD143)</f>
        <v>1</v>
      </c>
    </row>
    <row r="144" customFormat="false" ht="12.75" hidden="false" customHeight="true" outlineLevel="0" collapsed="false">
      <c r="A144" s="24"/>
      <c r="B144" s="15"/>
      <c r="C144" s="15"/>
      <c r="D144" s="25"/>
      <c r="E144" s="25"/>
      <c r="F144" s="15"/>
      <c r="G144" s="15"/>
      <c r="H144" s="15"/>
      <c r="I144" s="15"/>
      <c r="J144" s="15"/>
      <c r="K144" s="15"/>
      <c r="L144" s="15"/>
      <c r="M144" s="15"/>
      <c r="N144" s="15"/>
      <c r="O144" s="15"/>
      <c r="P144" s="22" t="str">
        <f aca="false">IF(AC144&gt;=Reference!$H$2, Reference!$G$2, IF(AC144&gt;=Reference!$H$3, Reference!$G$3, IF(AC144&gt;=Reference!$H$4, Reference!$G$4, IF(AC144&gt;=Reference!$H$5, Reference!$G$5, ""))))</f>
        <v/>
      </c>
      <c r="Q144" s="22" t="str">
        <f aca="false">IF(F144="Physical", "Very Low", IF(F144="Local", "Low", IF(F144="Adjacent", "Medium", IF(F144="Network", "High", ""))))</f>
        <v/>
      </c>
      <c r="R144" s="22" t="str">
        <f aca="false">IF(AE144&gt;=Reference!$D$2, Reference!$G$2, IF(AE144&gt;=Reference!$D$3, Reference!$E$3, IF(AE144&gt;=Reference!$D$4, Reference!$E$4, IF(AE144&gt;=Reference!$D$5, Reference!$E$5, ""))))</f>
        <v>Low</v>
      </c>
      <c r="S144" s="27"/>
      <c r="T144" s="28"/>
      <c r="U144" s="15"/>
      <c r="V144" s="15"/>
      <c r="W144" s="15"/>
      <c r="Y144" s="16" t="n">
        <f aca="false">IF(H144=Reference!$A$12, Reference!$C$12, IF(H144=Reference!$A$11, Reference!$C$11, IF(H144=Reference!$A$10, Reference!$C$10, IF(H144=Reference!$A$9, Reference!$C$9, 0))))</f>
        <v>0</v>
      </c>
      <c r="Z144" s="16" t="n">
        <f aca="false">IF(J144=Reference!$A$20, Reference!$C$20, IF(J144=Reference!$A$19, Reference!$C$19, IF(J144=Reference!$A$18, Reference!$C$18, IF(J144=Reference!$A$17, Reference!$C$17, 0))))</f>
        <v>0</v>
      </c>
      <c r="AA144" s="16" t="n">
        <f aca="false">IF(L144=Reference!$A$28, Reference!$C$28, IF(L144=Reference!$A$27, Reference!$C$27, IF(L144=Reference!$A$26, Reference!$C$26, IF(L144=Reference!$A$25, Reference!$C$25, 0))))</f>
        <v>0</v>
      </c>
      <c r="AB144" s="16" t="n">
        <f aca="false">IF(N144=Reference!$A$36, Reference!$C$36, IF(N144=Reference!$A$35, Reference!$C$35, IF(N144=Reference!$A$34, Reference!$C$34, IF(N144=Reference!$A$33, Reference!$C$33, 0))))</f>
        <v>0</v>
      </c>
      <c r="AC144" s="16" t="n">
        <f aca="false">(Reference!$B$2*Y144 + Reference!$B$3*AA144 + Reference!$B$4*Z144 + Reference!$B$5 * AB144)/4</f>
        <v>0</v>
      </c>
      <c r="AD144" s="16" t="n">
        <f aca="false">IF(Q144=Reference!$C$41, Reference!$D$41, IF(Q144=Reference!$C$42, Reference!$D$42, IF(Q144=Reference!$C$43, Reference!$D$43, IF(Q144=Reference!$C$44, Reference!$D$44, 0))))</f>
        <v>0</v>
      </c>
      <c r="AE144" s="16" t="n">
        <f aca="false">1 + (AC144 * AD144)</f>
        <v>1</v>
      </c>
    </row>
    <row r="145" customFormat="false" ht="12.75" hidden="false" customHeight="true" outlineLevel="0" collapsed="false">
      <c r="A145" s="24"/>
      <c r="B145" s="15"/>
      <c r="C145" s="15"/>
      <c r="D145" s="31"/>
      <c r="E145" s="25"/>
      <c r="F145" s="15"/>
      <c r="G145" s="15"/>
      <c r="H145" s="15"/>
      <c r="I145" s="15"/>
      <c r="J145" s="15"/>
      <c r="K145" s="15"/>
      <c r="L145" s="15"/>
      <c r="M145" s="15"/>
      <c r="N145" s="15"/>
      <c r="O145" s="15"/>
      <c r="P145" s="22" t="str">
        <f aca="false">IF(AC145&gt;=Reference!$H$2, Reference!$G$2, IF(AC145&gt;=Reference!$H$3, Reference!$G$3, IF(AC145&gt;=Reference!$H$4, Reference!$G$4, IF(AC145&gt;=Reference!$H$5, Reference!$G$5, ""))))</f>
        <v/>
      </c>
      <c r="Q145" s="22" t="str">
        <f aca="false">IF(F145="Physical", "Very Low", IF(F145="Local", "Low", IF(F145="Adjacent", "Medium", IF(F145="Network", "High", ""))))</f>
        <v/>
      </c>
      <c r="R145" s="22" t="str">
        <f aca="false">IF(AE145&gt;=Reference!$D$2, Reference!$G$2, IF(AE145&gt;=Reference!$D$3, Reference!$E$3, IF(AE145&gt;=Reference!$D$4, Reference!$E$4, IF(AE145&gt;=Reference!$D$5, Reference!$E$5, ""))))</f>
        <v>Low</v>
      </c>
      <c r="S145" s="27"/>
      <c r="T145" s="28"/>
      <c r="U145" s="15"/>
      <c r="V145" s="26"/>
      <c r="W145" s="15"/>
      <c r="Y145" s="16" t="n">
        <f aca="false">IF(H145=Reference!$A$12, Reference!$C$12, IF(H145=Reference!$A$11, Reference!$C$11, IF(H145=Reference!$A$10, Reference!$C$10, IF(H145=Reference!$A$9, Reference!$C$9, 0))))</f>
        <v>0</v>
      </c>
      <c r="Z145" s="16" t="n">
        <f aca="false">IF(J145=Reference!$A$20, Reference!$C$20, IF(J145=Reference!$A$19, Reference!$C$19, IF(J145=Reference!$A$18, Reference!$C$18, IF(J145=Reference!$A$17, Reference!$C$17, 0))))</f>
        <v>0</v>
      </c>
      <c r="AA145" s="16" t="n">
        <f aca="false">IF(L145=Reference!$A$28, Reference!$C$28, IF(L145=Reference!$A$27, Reference!$C$27, IF(L145=Reference!$A$26, Reference!$C$26, IF(L145=Reference!$A$25, Reference!$C$25, 0))))</f>
        <v>0</v>
      </c>
      <c r="AB145" s="16" t="n">
        <f aca="false">IF(N145=Reference!$A$36, Reference!$C$36, IF(N145=Reference!$A$35, Reference!$C$35, IF(N145=Reference!$A$34, Reference!$C$34, IF(N145=Reference!$A$33, Reference!$C$33, 0))))</f>
        <v>0</v>
      </c>
      <c r="AC145" s="16" t="n">
        <f aca="false">(Reference!$B$2*Y145 + Reference!$B$3*AA145 + Reference!$B$4*Z145 + Reference!$B$5 * AB145)/4</f>
        <v>0</v>
      </c>
      <c r="AD145" s="16" t="n">
        <f aca="false">IF(Q145=Reference!$C$41, Reference!$D$41, IF(Q145=Reference!$C$42, Reference!$D$42, IF(Q145=Reference!$C$43, Reference!$D$43, IF(Q145=Reference!$C$44, Reference!$D$44, 0))))</f>
        <v>0</v>
      </c>
      <c r="AE145" s="16" t="n">
        <f aca="false">1 + (AC145 * AD145)</f>
        <v>1</v>
      </c>
    </row>
    <row r="146" customFormat="false" ht="12.75" hidden="false" customHeight="true" outlineLevel="0" collapsed="false">
      <c r="A146" s="24"/>
      <c r="B146" s="15"/>
      <c r="C146" s="15"/>
      <c r="D146" s="25"/>
      <c r="E146" s="25"/>
      <c r="F146" s="15"/>
      <c r="G146" s="15"/>
      <c r="H146" s="15"/>
      <c r="I146" s="15"/>
      <c r="J146" s="15"/>
      <c r="K146" s="15"/>
      <c r="L146" s="15"/>
      <c r="M146" s="15"/>
      <c r="N146" s="15"/>
      <c r="O146" s="15"/>
      <c r="P146" s="22" t="str">
        <f aca="false">IF(AC146&gt;=Reference!$H$2, Reference!$G$2, IF(AC146&gt;=Reference!$H$3, Reference!$G$3, IF(AC146&gt;=Reference!$H$4, Reference!$G$4, IF(AC146&gt;=Reference!$H$5, Reference!$G$5, ""))))</f>
        <v/>
      </c>
      <c r="Q146" s="22" t="str">
        <f aca="false">IF(F146="Physical", "Very Low", IF(F146="Local", "Low", IF(F146="Adjacent", "Medium", IF(F146="Network", "High", ""))))</f>
        <v/>
      </c>
      <c r="R146" s="22" t="str">
        <f aca="false">IF(AE146&gt;=Reference!$D$2, Reference!$G$2, IF(AE146&gt;=Reference!$D$3, Reference!$E$3, IF(AE146&gt;=Reference!$D$4, Reference!$E$4, IF(AE146&gt;=Reference!$D$5, Reference!$E$5, ""))))</f>
        <v>Low</v>
      </c>
      <c r="S146" s="27"/>
      <c r="T146" s="28"/>
      <c r="U146" s="15"/>
      <c r="V146" s="15"/>
      <c r="W146" s="15"/>
      <c r="Y146" s="16" t="n">
        <f aca="false">IF(H146=Reference!$A$12, Reference!$C$12, IF(H146=Reference!$A$11, Reference!$C$11, IF(H146=Reference!$A$10, Reference!$C$10, IF(H146=Reference!$A$9, Reference!$C$9, 0))))</f>
        <v>0</v>
      </c>
      <c r="Z146" s="16" t="n">
        <f aca="false">IF(J146=Reference!$A$20, Reference!$C$20, IF(J146=Reference!$A$19, Reference!$C$19, IF(J146=Reference!$A$18, Reference!$C$18, IF(J146=Reference!$A$17, Reference!$C$17, 0))))</f>
        <v>0</v>
      </c>
      <c r="AA146" s="16" t="n">
        <f aca="false">IF(L146=Reference!$A$28, Reference!$C$28, IF(L146=Reference!$A$27, Reference!$C$27, IF(L146=Reference!$A$26, Reference!$C$26, IF(L146=Reference!$A$25, Reference!$C$25, 0))))</f>
        <v>0</v>
      </c>
      <c r="AB146" s="16" t="n">
        <f aca="false">IF(N146=Reference!$A$36, Reference!$C$36, IF(N146=Reference!$A$35, Reference!$C$35, IF(N146=Reference!$A$34, Reference!$C$34, IF(N146=Reference!$A$33, Reference!$C$33, 0))))</f>
        <v>0</v>
      </c>
      <c r="AC146" s="16" t="n">
        <f aca="false">(Reference!$B$2*Y146 + Reference!$B$3*AA146 + Reference!$B$4*Z146 + Reference!$B$5 * AB146)/4</f>
        <v>0</v>
      </c>
      <c r="AD146" s="16" t="n">
        <f aca="false">IF(Q146=Reference!$C$41, Reference!$D$41, IF(Q146=Reference!$C$42, Reference!$D$42, IF(Q146=Reference!$C$43, Reference!$D$43, IF(Q146=Reference!$C$44, Reference!$D$44, 0))))</f>
        <v>0</v>
      </c>
      <c r="AE146" s="16" t="n">
        <f aca="false">1 + (AC146 * AD146)</f>
        <v>1</v>
      </c>
    </row>
    <row r="147" customFormat="false" ht="14.25" hidden="false" customHeight="true" outlineLevel="0" collapsed="false">
      <c r="A147" s="24"/>
      <c r="B147" s="15"/>
      <c r="C147" s="15"/>
      <c r="D147" s="25"/>
      <c r="E147" s="25"/>
      <c r="F147" s="15"/>
      <c r="G147" s="15"/>
      <c r="H147" s="15"/>
      <c r="I147" s="15"/>
      <c r="J147" s="15"/>
      <c r="K147" s="15"/>
      <c r="L147" s="15"/>
      <c r="M147" s="15"/>
      <c r="N147" s="15"/>
      <c r="O147" s="15"/>
      <c r="P147" s="22" t="str">
        <f aca="false">IF(AC147&gt;=Reference!$H$2, Reference!$G$2, IF(AC147&gt;=Reference!$H$3, Reference!$G$3, IF(AC147&gt;=Reference!$H$4, Reference!$G$4, IF(AC147&gt;=Reference!$H$5, Reference!$G$5, ""))))</f>
        <v/>
      </c>
      <c r="Q147" s="22" t="str">
        <f aca="false">IF(F147="Physical", "Very Low", IF(F147="Local", "Low", IF(F147="Adjacent", "Medium", IF(F147="Network", "High", ""))))</f>
        <v/>
      </c>
      <c r="R147" s="22" t="str">
        <f aca="false">IF(AE147&gt;=Reference!$D$2, Reference!$G$2, IF(AE147&gt;=Reference!$D$3, Reference!$E$3, IF(AE147&gt;=Reference!$D$4, Reference!$E$4, IF(AE147&gt;=Reference!$D$5, Reference!$E$5, ""))))</f>
        <v>Low</v>
      </c>
      <c r="S147" s="27"/>
      <c r="T147" s="30"/>
      <c r="U147" s="15"/>
      <c r="V147" s="15"/>
      <c r="W147" s="15"/>
      <c r="Y147" s="16" t="n">
        <f aca="false">IF(H147=Reference!$A$12, Reference!$C$12, IF(H147=Reference!$A$11, Reference!$C$11, IF(H147=Reference!$A$10, Reference!$C$10, IF(H147=Reference!$A$9, Reference!$C$9, 0))))</f>
        <v>0</v>
      </c>
      <c r="Z147" s="16" t="n">
        <f aca="false">IF(J147=Reference!$A$20, Reference!$C$20, IF(J147=Reference!$A$19, Reference!$C$19, IF(J147=Reference!$A$18, Reference!$C$18, IF(J147=Reference!$A$17, Reference!$C$17, 0))))</f>
        <v>0</v>
      </c>
      <c r="AA147" s="16" t="n">
        <f aca="false">IF(L147=Reference!$A$28, Reference!$C$28, IF(L147=Reference!$A$27, Reference!$C$27, IF(L147=Reference!$A$26, Reference!$C$26, IF(L147=Reference!$A$25, Reference!$C$25, 0))))</f>
        <v>0</v>
      </c>
      <c r="AB147" s="16" t="n">
        <f aca="false">IF(N147=Reference!$A$36, Reference!$C$36, IF(N147=Reference!$A$35, Reference!$C$35, IF(N147=Reference!$A$34, Reference!$C$34, IF(N147=Reference!$A$33, Reference!$C$33, 0))))</f>
        <v>0</v>
      </c>
      <c r="AC147" s="16" t="n">
        <f aca="false">(Reference!$B$2*Y147 + Reference!$B$3*AA147 + Reference!$B$4*Z147 + Reference!$B$5 * AB147)/4</f>
        <v>0</v>
      </c>
      <c r="AD147" s="16" t="n">
        <f aca="false">IF(Q147=Reference!$C$41, Reference!$D$41, IF(Q147=Reference!$C$42, Reference!$D$42, IF(Q147=Reference!$C$43, Reference!$D$43, IF(Q147=Reference!$C$44, Reference!$D$44, 0))))</f>
        <v>0</v>
      </c>
      <c r="AE147" s="16" t="n">
        <f aca="false">1 + (AC147 * AD147)</f>
        <v>1</v>
      </c>
    </row>
    <row r="148" customFormat="false" ht="12.75" hidden="false" customHeight="true" outlineLevel="0" collapsed="false">
      <c r="A148" s="24"/>
      <c r="B148" s="15"/>
      <c r="C148" s="15"/>
      <c r="D148" s="25"/>
      <c r="E148" s="25"/>
      <c r="F148" s="15"/>
      <c r="G148" s="15"/>
      <c r="H148" s="15"/>
      <c r="I148" s="15"/>
      <c r="J148" s="15"/>
      <c r="K148" s="15"/>
      <c r="L148" s="15"/>
      <c r="M148" s="15"/>
      <c r="N148" s="15"/>
      <c r="O148" s="15"/>
      <c r="P148" s="22" t="str">
        <f aca="false">IF(AC148&gt;=Reference!$H$2, Reference!$G$2, IF(AC148&gt;=Reference!$H$3, Reference!$G$3, IF(AC148&gt;=Reference!$H$4, Reference!$G$4, IF(AC148&gt;=Reference!$H$5, Reference!$G$5, ""))))</f>
        <v/>
      </c>
      <c r="Q148" s="22" t="str">
        <f aca="false">IF(F148="Physical", "Very Low", IF(F148="Local", "Low", IF(F148="Adjacent", "Medium", IF(F148="Network", "High", ""))))</f>
        <v/>
      </c>
      <c r="R148" s="22" t="str">
        <f aca="false">IF(AE148&gt;=Reference!$D$2, Reference!$G$2, IF(AE148&gt;=Reference!$D$3, Reference!$E$3, IF(AE148&gt;=Reference!$D$4, Reference!$E$4, IF(AE148&gt;=Reference!$D$5, Reference!$E$5, ""))))</f>
        <v>Low</v>
      </c>
      <c r="S148" s="27"/>
      <c r="T148" s="28"/>
      <c r="U148" s="15"/>
      <c r="V148" s="15"/>
      <c r="W148" s="15"/>
      <c r="Y148" s="16" t="n">
        <f aca="false">IF(H148=Reference!$A$12, Reference!$C$12, IF(H148=Reference!$A$11, Reference!$C$11, IF(H148=Reference!$A$10, Reference!$C$10, IF(H148=Reference!$A$9, Reference!$C$9, 0))))</f>
        <v>0</v>
      </c>
      <c r="Z148" s="16" t="n">
        <f aca="false">IF(J148=Reference!$A$20, Reference!$C$20, IF(J148=Reference!$A$19, Reference!$C$19, IF(J148=Reference!$A$18, Reference!$C$18, IF(J148=Reference!$A$17, Reference!$C$17, 0))))</f>
        <v>0</v>
      </c>
      <c r="AA148" s="16" t="n">
        <f aca="false">IF(L148=Reference!$A$28, Reference!$C$28, IF(L148=Reference!$A$27, Reference!$C$27, IF(L148=Reference!$A$26, Reference!$C$26, IF(L148=Reference!$A$25, Reference!$C$25, 0))))</f>
        <v>0</v>
      </c>
      <c r="AB148" s="16" t="n">
        <f aca="false">IF(N148=Reference!$A$36, Reference!$C$36, IF(N148=Reference!$A$35, Reference!$C$35, IF(N148=Reference!$A$34, Reference!$C$34, IF(N148=Reference!$A$33, Reference!$C$33, 0))))</f>
        <v>0</v>
      </c>
      <c r="AC148" s="16" t="n">
        <f aca="false">(Reference!$B$2*Y148 + Reference!$B$3*AA148 + Reference!$B$4*Z148 + Reference!$B$5 * AB148)/4</f>
        <v>0</v>
      </c>
      <c r="AD148" s="16" t="n">
        <f aca="false">IF(Q148=Reference!$C$41, Reference!$D$41, IF(Q148=Reference!$C$42, Reference!$D$42, IF(Q148=Reference!$C$43, Reference!$D$43, IF(Q148=Reference!$C$44, Reference!$D$44, 0))))</f>
        <v>0</v>
      </c>
      <c r="AE148" s="16" t="n">
        <f aca="false">1 + (AC148 * AD148)</f>
        <v>1</v>
      </c>
    </row>
    <row r="149" customFormat="false" ht="14.25" hidden="false" customHeight="true" outlineLevel="0" collapsed="false">
      <c r="A149" s="24"/>
      <c r="B149" s="15"/>
      <c r="C149" s="15"/>
      <c r="D149" s="25"/>
      <c r="E149" s="30"/>
      <c r="F149" s="15"/>
      <c r="G149" s="15"/>
      <c r="H149" s="15"/>
      <c r="I149" s="15"/>
      <c r="J149" s="15"/>
      <c r="K149" s="15"/>
      <c r="L149" s="15"/>
      <c r="M149" s="15"/>
      <c r="N149" s="15"/>
      <c r="O149" s="15"/>
      <c r="P149" s="22" t="str">
        <f aca="false">IF(AC149&gt;=Reference!$H$2, Reference!$G$2, IF(AC149&gt;=Reference!$H$3, Reference!$G$3, IF(AC149&gt;=Reference!$H$4, Reference!$G$4, IF(AC149&gt;=Reference!$H$5, Reference!$G$5, ""))))</f>
        <v/>
      </c>
      <c r="Q149" s="22" t="str">
        <f aca="false">IF(F149="Physical", "Very Low", IF(F149="Local", "Low", IF(F149="Adjacent", "Medium", IF(F149="Network", "High", ""))))</f>
        <v/>
      </c>
      <c r="R149" s="22" t="str">
        <f aca="false">IF(AE149&gt;=Reference!$D$2, Reference!$G$2, IF(AE149&gt;=Reference!$D$3, Reference!$E$3, IF(AE149&gt;=Reference!$D$4, Reference!$E$4, IF(AE149&gt;=Reference!$D$5, Reference!$E$5, ""))))</f>
        <v>Low</v>
      </c>
      <c r="S149" s="27"/>
      <c r="T149" s="30"/>
      <c r="U149" s="15"/>
      <c r="V149" s="15"/>
      <c r="W149" s="15"/>
      <c r="Y149" s="16" t="n">
        <f aca="false">IF(H149=Reference!$A$12, Reference!$C$12, IF(H149=Reference!$A$11, Reference!$C$11, IF(H149=Reference!$A$10, Reference!$C$10, IF(H149=Reference!$A$9, Reference!$C$9, 0))))</f>
        <v>0</v>
      </c>
      <c r="Z149" s="16" t="n">
        <f aca="false">IF(J149=Reference!$A$20, Reference!$C$20, IF(J149=Reference!$A$19, Reference!$C$19, IF(J149=Reference!$A$18, Reference!$C$18, IF(J149=Reference!$A$17, Reference!$C$17, 0))))</f>
        <v>0</v>
      </c>
      <c r="AA149" s="16" t="n">
        <f aca="false">IF(L149=Reference!$A$28, Reference!$C$28, IF(L149=Reference!$A$27, Reference!$C$27, IF(L149=Reference!$A$26, Reference!$C$26, IF(L149=Reference!$A$25, Reference!$C$25, 0))))</f>
        <v>0</v>
      </c>
      <c r="AB149" s="16" t="n">
        <f aca="false">IF(N149=Reference!$A$36, Reference!$C$36, IF(N149=Reference!$A$35, Reference!$C$35, IF(N149=Reference!$A$34, Reference!$C$34, IF(N149=Reference!$A$33, Reference!$C$33, 0))))</f>
        <v>0</v>
      </c>
      <c r="AC149" s="16" t="n">
        <f aca="false">(Reference!$B$2*Y149 + Reference!$B$3*AA149 + Reference!$B$4*Z149 + Reference!$B$5 * AB149)/4</f>
        <v>0</v>
      </c>
      <c r="AD149" s="16" t="n">
        <f aca="false">IF(Q149=Reference!$C$41, Reference!$D$41, IF(Q149=Reference!$C$42, Reference!$D$42, IF(Q149=Reference!$C$43, Reference!$D$43, IF(Q149=Reference!$C$44, Reference!$D$44, 0))))</f>
        <v>0</v>
      </c>
      <c r="AE149" s="16" t="n">
        <f aca="false">1 + (AC149 * AD149)</f>
        <v>1</v>
      </c>
    </row>
    <row r="150" customFormat="false" ht="12.75" hidden="false" customHeight="true" outlineLevel="0" collapsed="false">
      <c r="A150" s="24"/>
      <c r="B150" s="15"/>
      <c r="C150" s="15"/>
      <c r="D150" s="25"/>
      <c r="E150" s="25"/>
      <c r="F150" s="15"/>
      <c r="G150" s="26"/>
      <c r="H150" s="15"/>
      <c r="I150" s="15"/>
      <c r="J150" s="15"/>
      <c r="K150" s="15"/>
      <c r="L150" s="15"/>
      <c r="M150" s="26"/>
      <c r="N150" s="15"/>
      <c r="O150" s="26"/>
      <c r="P150" s="22" t="str">
        <f aca="false">IF(AC150&gt;=Reference!$H$2, Reference!$G$2, IF(AC150&gt;=Reference!$H$3, Reference!$G$3, IF(AC150&gt;=Reference!$H$4, Reference!$G$4, IF(AC150&gt;=Reference!$H$5, Reference!$G$5, ""))))</f>
        <v/>
      </c>
      <c r="Q150" s="22" t="str">
        <f aca="false">IF(F150="Physical", "Very Low", IF(F150="Local", "Low", IF(F150="Adjacent", "Medium", IF(F150="Network", "High", ""))))</f>
        <v/>
      </c>
      <c r="R150" s="22" t="str">
        <f aca="false">IF(AE150&gt;=Reference!$D$2, Reference!$G$2, IF(AE150&gt;=Reference!$D$3, Reference!$E$3, IF(AE150&gt;=Reference!$D$4, Reference!$E$4, IF(AE150&gt;=Reference!$D$5, Reference!$E$5, ""))))</f>
        <v>Low</v>
      </c>
      <c r="S150" s="27"/>
      <c r="T150" s="26"/>
      <c r="U150" s="15"/>
      <c r="V150" s="15"/>
      <c r="W150" s="15"/>
      <c r="Y150" s="16" t="n">
        <f aca="false">IF(H150=Reference!$A$12, Reference!$C$12, IF(H150=Reference!$A$11, Reference!$C$11, IF(H150=Reference!$A$10, Reference!$C$10, IF(H150=Reference!$A$9, Reference!$C$9, 0))))</f>
        <v>0</v>
      </c>
      <c r="Z150" s="16" t="n">
        <f aca="false">IF(J150=Reference!$A$20, Reference!$C$20, IF(J150=Reference!$A$19, Reference!$C$19, IF(J150=Reference!$A$18, Reference!$C$18, IF(J150=Reference!$A$17, Reference!$C$17, 0))))</f>
        <v>0</v>
      </c>
      <c r="AA150" s="16" t="n">
        <f aca="false">IF(L150=Reference!$A$28, Reference!$C$28, IF(L150=Reference!$A$27, Reference!$C$27, IF(L150=Reference!$A$26, Reference!$C$26, IF(L150=Reference!$A$25, Reference!$C$25, 0))))</f>
        <v>0</v>
      </c>
      <c r="AB150" s="16" t="n">
        <f aca="false">IF(N150=Reference!$A$36, Reference!$C$36, IF(N150=Reference!$A$35, Reference!$C$35, IF(N150=Reference!$A$34, Reference!$C$34, IF(N150=Reference!$A$33, Reference!$C$33, 0))))</f>
        <v>0</v>
      </c>
      <c r="AC150" s="16" t="n">
        <f aca="false">(Reference!$B$2*Y150 + Reference!$B$3*AA150 + Reference!$B$4*Z150 + Reference!$B$5 * AB150)/4</f>
        <v>0</v>
      </c>
      <c r="AD150" s="16" t="n">
        <f aca="false">IF(Q150=Reference!$C$41, Reference!$D$41, IF(Q150=Reference!$C$42, Reference!$D$42, IF(Q150=Reference!$C$43, Reference!$D$43, IF(Q150=Reference!$C$44, Reference!$D$44, 0))))</f>
        <v>0</v>
      </c>
      <c r="AE150" s="16" t="n">
        <f aca="false">1 + (AC150 * AD150)</f>
        <v>1</v>
      </c>
    </row>
    <row r="151" customFormat="false" ht="12.75" hidden="false" customHeight="true" outlineLevel="0" collapsed="false">
      <c r="A151" s="24"/>
      <c r="B151" s="15"/>
      <c r="C151" s="15"/>
      <c r="D151" s="25"/>
      <c r="E151" s="25"/>
      <c r="F151" s="15"/>
      <c r="G151" s="15"/>
      <c r="H151" s="15"/>
      <c r="I151" s="15"/>
      <c r="J151" s="15"/>
      <c r="K151" s="15"/>
      <c r="L151" s="15"/>
      <c r="M151" s="15"/>
      <c r="N151" s="15"/>
      <c r="O151" s="15"/>
      <c r="P151" s="22" t="str">
        <f aca="false">IF(AC151&gt;=Reference!$H$2, Reference!$G$2, IF(AC151&gt;=Reference!$H$3, Reference!$G$3, IF(AC151&gt;=Reference!$H$4, Reference!$G$4, IF(AC151&gt;=Reference!$H$5, Reference!$G$5, ""))))</f>
        <v/>
      </c>
      <c r="Q151" s="22" t="str">
        <f aca="false">IF(F151="Physical", "Very Low", IF(F151="Local", "Low", IF(F151="Adjacent", "Medium", IF(F151="Network", "High", ""))))</f>
        <v/>
      </c>
      <c r="R151" s="22" t="str">
        <f aca="false">IF(AE151&gt;=Reference!$D$2, Reference!$G$2, IF(AE151&gt;=Reference!$D$3, Reference!$E$3, IF(AE151&gt;=Reference!$D$4, Reference!$E$4, IF(AE151&gt;=Reference!$D$5, Reference!$E$5, ""))))</f>
        <v>Low</v>
      </c>
      <c r="S151" s="27"/>
      <c r="T151" s="28"/>
      <c r="U151" s="15"/>
      <c r="V151" s="15"/>
      <c r="W151" s="15"/>
      <c r="Y151" s="16" t="n">
        <f aca="false">IF(H151=Reference!$A$12, Reference!$C$12, IF(H151=Reference!$A$11, Reference!$C$11, IF(H151=Reference!$A$10, Reference!$C$10, IF(H151=Reference!$A$9, Reference!$C$9, 0))))</f>
        <v>0</v>
      </c>
      <c r="Z151" s="16" t="n">
        <f aca="false">IF(J151=Reference!$A$20, Reference!$C$20, IF(J151=Reference!$A$19, Reference!$C$19, IF(J151=Reference!$A$18, Reference!$C$18, IF(J151=Reference!$A$17, Reference!$C$17, 0))))</f>
        <v>0</v>
      </c>
      <c r="AA151" s="16" t="n">
        <f aca="false">IF(L151=Reference!$A$28, Reference!$C$28, IF(L151=Reference!$A$27, Reference!$C$27, IF(L151=Reference!$A$26, Reference!$C$26, IF(L151=Reference!$A$25, Reference!$C$25, 0))))</f>
        <v>0</v>
      </c>
      <c r="AB151" s="16" t="n">
        <f aca="false">IF(N151=Reference!$A$36, Reference!$C$36, IF(N151=Reference!$A$35, Reference!$C$35, IF(N151=Reference!$A$34, Reference!$C$34, IF(N151=Reference!$A$33, Reference!$C$33, 0))))</f>
        <v>0</v>
      </c>
      <c r="AC151" s="16" t="n">
        <f aca="false">(Reference!$B$2*Y151 + Reference!$B$3*AA151 + Reference!$B$4*Z151 + Reference!$B$5 * AB151)/4</f>
        <v>0</v>
      </c>
      <c r="AD151" s="16" t="n">
        <f aca="false">IF(Q151=Reference!$C$41, Reference!$D$41, IF(Q151=Reference!$C$42, Reference!$D$42, IF(Q151=Reference!$C$43, Reference!$D$43, IF(Q151=Reference!$C$44, Reference!$D$44, 0))))</f>
        <v>0</v>
      </c>
      <c r="AE151" s="16" t="n">
        <f aca="false">1 + (AC151 * AD151)</f>
        <v>1</v>
      </c>
    </row>
    <row r="152" customFormat="false" ht="12.75" hidden="false" customHeight="true" outlineLevel="0" collapsed="false">
      <c r="A152" s="24"/>
      <c r="B152" s="15"/>
      <c r="C152" s="15"/>
      <c r="D152" s="25"/>
      <c r="E152" s="25"/>
      <c r="F152" s="15"/>
      <c r="G152" s="15"/>
      <c r="H152" s="15"/>
      <c r="I152" s="15"/>
      <c r="J152" s="15"/>
      <c r="K152" s="15"/>
      <c r="L152" s="15"/>
      <c r="M152" s="15"/>
      <c r="N152" s="15"/>
      <c r="O152" s="15"/>
      <c r="P152" s="22" t="str">
        <f aca="false">IF(AC152&gt;=Reference!$H$2, Reference!$G$2, IF(AC152&gt;=Reference!$H$3, Reference!$G$3, IF(AC152&gt;=Reference!$H$4, Reference!$G$4, IF(AC152&gt;=Reference!$H$5, Reference!$G$5, ""))))</f>
        <v/>
      </c>
      <c r="Q152" s="22" t="str">
        <f aca="false">IF(F152="Physical", "Very Low", IF(F152="Local", "Low", IF(F152="Adjacent", "Medium", IF(F152="Network", "High", ""))))</f>
        <v/>
      </c>
      <c r="R152" s="22" t="str">
        <f aca="false">IF(AE152&gt;=Reference!$D$2, Reference!$G$2, IF(AE152&gt;=Reference!$D$3, Reference!$E$3, IF(AE152&gt;=Reference!$D$4, Reference!$E$4, IF(AE152&gt;=Reference!$D$5, Reference!$E$5, ""))))</f>
        <v>Low</v>
      </c>
      <c r="S152" s="27"/>
      <c r="T152" s="28"/>
      <c r="U152" s="15"/>
      <c r="V152" s="15"/>
      <c r="W152" s="15"/>
      <c r="Y152" s="16" t="n">
        <f aca="false">IF(H152=Reference!$A$12, Reference!$C$12, IF(H152=Reference!$A$11, Reference!$C$11, IF(H152=Reference!$A$10, Reference!$C$10, IF(H152=Reference!$A$9, Reference!$C$9, 0))))</f>
        <v>0</v>
      </c>
      <c r="Z152" s="16" t="n">
        <f aca="false">IF(J152=Reference!$A$20, Reference!$C$20, IF(J152=Reference!$A$19, Reference!$C$19, IF(J152=Reference!$A$18, Reference!$C$18, IF(J152=Reference!$A$17, Reference!$C$17, 0))))</f>
        <v>0</v>
      </c>
      <c r="AA152" s="16" t="n">
        <f aca="false">IF(L152=Reference!$A$28, Reference!$C$28, IF(L152=Reference!$A$27, Reference!$C$27, IF(L152=Reference!$A$26, Reference!$C$26, IF(L152=Reference!$A$25, Reference!$C$25, 0))))</f>
        <v>0</v>
      </c>
      <c r="AB152" s="16" t="n">
        <f aca="false">IF(N152=Reference!$A$36, Reference!$C$36, IF(N152=Reference!$A$35, Reference!$C$35, IF(N152=Reference!$A$34, Reference!$C$34, IF(N152=Reference!$A$33, Reference!$C$33, 0))))</f>
        <v>0</v>
      </c>
      <c r="AC152" s="16" t="n">
        <f aca="false">(Reference!$B$2*Y152 + Reference!$B$3*AA152 + Reference!$B$4*Z152 + Reference!$B$5 * AB152)/4</f>
        <v>0</v>
      </c>
      <c r="AD152" s="16" t="n">
        <f aca="false">IF(Q152=Reference!$C$41, Reference!$D$41, IF(Q152=Reference!$C$42, Reference!$D$42, IF(Q152=Reference!$C$43, Reference!$D$43, IF(Q152=Reference!$C$44, Reference!$D$44, 0))))</f>
        <v>0</v>
      </c>
      <c r="AE152" s="16" t="n">
        <f aca="false">1 + (AC152 * AD152)</f>
        <v>1</v>
      </c>
    </row>
    <row r="153" customFormat="false" ht="12.75" hidden="false" customHeight="true" outlineLevel="0" collapsed="false">
      <c r="A153" s="24"/>
      <c r="B153" s="15"/>
      <c r="C153" s="15"/>
      <c r="D153" s="25"/>
      <c r="E153" s="25"/>
      <c r="F153" s="15"/>
      <c r="G153" s="15"/>
      <c r="H153" s="15"/>
      <c r="I153" s="15"/>
      <c r="J153" s="15"/>
      <c r="K153" s="15"/>
      <c r="L153" s="15"/>
      <c r="M153" s="15"/>
      <c r="N153" s="15"/>
      <c r="O153" s="15"/>
      <c r="P153" s="22" t="str">
        <f aca="false">IF(AC153&gt;=Reference!$H$2, Reference!$G$2, IF(AC153&gt;=Reference!$H$3, Reference!$G$3, IF(AC153&gt;=Reference!$H$4, Reference!$G$4, IF(AC153&gt;=Reference!$H$5, Reference!$G$5, ""))))</f>
        <v/>
      </c>
      <c r="Q153" s="22" t="str">
        <f aca="false">IF(F153="Physical", "Very Low", IF(F153="Local", "Low", IF(F153="Adjacent", "Medium", IF(F153="Network", "High", ""))))</f>
        <v/>
      </c>
      <c r="R153" s="22" t="str">
        <f aca="false">IF(AE153&gt;=Reference!$D$2, Reference!$G$2, IF(AE153&gt;=Reference!$D$3, Reference!$E$3, IF(AE153&gt;=Reference!$D$4, Reference!$E$4, IF(AE153&gt;=Reference!$D$5, Reference!$E$5, ""))))</f>
        <v>Low</v>
      </c>
      <c r="S153" s="27"/>
      <c r="T153" s="28"/>
      <c r="U153" s="15"/>
      <c r="V153" s="15"/>
      <c r="W153" s="15"/>
      <c r="Y153" s="16" t="n">
        <f aca="false">IF(H153=Reference!$A$12, Reference!$C$12, IF(H153=Reference!$A$11, Reference!$C$11, IF(H153=Reference!$A$10, Reference!$C$10, IF(H153=Reference!$A$9, Reference!$C$9, 0))))</f>
        <v>0</v>
      </c>
      <c r="Z153" s="16" t="n">
        <f aca="false">IF(J153=Reference!$A$20, Reference!$C$20, IF(J153=Reference!$A$19, Reference!$C$19, IF(J153=Reference!$A$18, Reference!$C$18, IF(J153=Reference!$A$17, Reference!$C$17, 0))))</f>
        <v>0</v>
      </c>
      <c r="AA153" s="16" t="n">
        <f aca="false">IF(L153=Reference!$A$28, Reference!$C$28, IF(L153=Reference!$A$27, Reference!$C$27, IF(L153=Reference!$A$26, Reference!$C$26, IF(L153=Reference!$A$25, Reference!$C$25, 0))))</f>
        <v>0</v>
      </c>
      <c r="AB153" s="16" t="n">
        <f aca="false">IF(N153=Reference!$A$36, Reference!$C$36, IF(N153=Reference!$A$35, Reference!$C$35, IF(N153=Reference!$A$34, Reference!$C$34, IF(N153=Reference!$A$33, Reference!$C$33, 0))))</f>
        <v>0</v>
      </c>
      <c r="AC153" s="16" t="n">
        <f aca="false">(Reference!$B$2*Y153 + Reference!$B$3*AA153 + Reference!$B$4*Z153 + Reference!$B$5 * AB153)/4</f>
        <v>0</v>
      </c>
      <c r="AD153" s="16" t="n">
        <f aca="false">IF(Q153=Reference!$C$41, Reference!$D$41, IF(Q153=Reference!$C$42, Reference!$D$42, IF(Q153=Reference!$C$43, Reference!$D$43, IF(Q153=Reference!$C$44, Reference!$D$44, 0))))</f>
        <v>0</v>
      </c>
      <c r="AE153" s="16" t="n">
        <f aca="false">1 + (AC153 * AD153)</f>
        <v>1</v>
      </c>
    </row>
    <row r="154" customFormat="false" ht="12.75" hidden="false" customHeight="true" outlineLevel="0" collapsed="false">
      <c r="A154" s="24"/>
      <c r="B154" s="15"/>
      <c r="C154" s="15"/>
      <c r="D154" s="25"/>
      <c r="E154" s="25"/>
      <c r="F154" s="15"/>
      <c r="G154" s="15"/>
      <c r="H154" s="15"/>
      <c r="I154" s="15"/>
      <c r="J154" s="15"/>
      <c r="K154" s="15"/>
      <c r="L154" s="15"/>
      <c r="M154" s="15"/>
      <c r="N154" s="15"/>
      <c r="O154" s="15"/>
      <c r="P154" s="22" t="str">
        <f aca="false">IF(AC154&gt;=Reference!$H$2, Reference!$G$2, IF(AC154&gt;=Reference!$H$3, Reference!$G$3, IF(AC154&gt;=Reference!$H$4, Reference!$G$4, IF(AC154&gt;=Reference!$H$5, Reference!$G$5, ""))))</f>
        <v/>
      </c>
      <c r="Q154" s="22" t="str">
        <f aca="false">IF(F154="Physical", "Very Low", IF(F154="Local", "Low", IF(F154="Adjacent", "Medium", IF(F154="Network", "High", ""))))</f>
        <v/>
      </c>
      <c r="R154" s="22" t="str">
        <f aca="false">IF(AE154&gt;=Reference!$D$2, Reference!$G$2, IF(AE154&gt;=Reference!$D$3, Reference!$E$3, IF(AE154&gt;=Reference!$D$4, Reference!$E$4, IF(AE154&gt;=Reference!$D$5, Reference!$E$5, ""))))</f>
        <v>Low</v>
      </c>
      <c r="S154" s="27"/>
      <c r="T154" s="28"/>
      <c r="U154" s="15"/>
      <c r="V154" s="15"/>
      <c r="W154" s="15"/>
      <c r="Y154" s="16" t="n">
        <f aca="false">IF(H154=Reference!$A$12, Reference!$C$12, IF(H154=Reference!$A$11, Reference!$C$11, IF(H154=Reference!$A$10, Reference!$C$10, IF(H154=Reference!$A$9, Reference!$C$9, 0))))</f>
        <v>0</v>
      </c>
      <c r="Z154" s="16" t="n">
        <f aca="false">IF(J154=Reference!$A$20, Reference!$C$20, IF(J154=Reference!$A$19, Reference!$C$19, IF(J154=Reference!$A$18, Reference!$C$18, IF(J154=Reference!$A$17, Reference!$C$17, 0))))</f>
        <v>0</v>
      </c>
      <c r="AA154" s="16" t="n">
        <f aca="false">IF(L154=Reference!$A$28, Reference!$C$28, IF(L154=Reference!$A$27, Reference!$C$27, IF(L154=Reference!$A$26, Reference!$C$26, IF(L154=Reference!$A$25, Reference!$C$25, 0))))</f>
        <v>0</v>
      </c>
      <c r="AB154" s="16" t="n">
        <f aca="false">IF(N154=Reference!$A$36, Reference!$C$36, IF(N154=Reference!$A$35, Reference!$C$35, IF(N154=Reference!$A$34, Reference!$C$34, IF(N154=Reference!$A$33, Reference!$C$33, 0))))</f>
        <v>0</v>
      </c>
      <c r="AC154" s="16" t="n">
        <f aca="false">(Reference!$B$2*Y154 + Reference!$B$3*AA154 + Reference!$B$4*Z154 + Reference!$B$5 * AB154)/4</f>
        <v>0</v>
      </c>
      <c r="AD154" s="16" t="n">
        <f aca="false">IF(Q154=Reference!$C$41, Reference!$D$41, IF(Q154=Reference!$C$42, Reference!$D$42, IF(Q154=Reference!$C$43, Reference!$D$43, IF(Q154=Reference!$C$44, Reference!$D$44, 0))))</f>
        <v>0</v>
      </c>
      <c r="AE154" s="16" t="n">
        <f aca="false">1 + (AC154 * AD154)</f>
        <v>1</v>
      </c>
    </row>
    <row r="155" customFormat="false" ht="12.75" hidden="false" customHeight="true" outlineLevel="0" collapsed="false">
      <c r="A155" s="24"/>
      <c r="B155" s="15"/>
      <c r="C155" s="15"/>
      <c r="D155" s="25"/>
      <c r="E155" s="25"/>
      <c r="F155" s="15"/>
      <c r="G155" s="15"/>
      <c r="H155" s="15"/>
      <c r="I155" s="15"/>
      <c r="J155" s="15"/>
      <c r="K155" s="15"/>
      <c r="L155" s="15"/>
      <c r="M155" s="15"/>
      <c r="N155" s="15"/>
      <c r="O155" s="15"/>
      <c r="P155" s="22" t="str">
        <f aca="false">IF(AC155&gt;=Reference!$H$2, Reference!$G$2, IF(AC155&gt;=Reference!$H$3, Reference!$G$3, IF(AC155&gt;=Reference!$H$4, Reference!$G$4, IF(AC155&gt;=Reference!$H$5, Reference!$G$5, ""))))</f>
        <v/>
      </c>
      <c r="Q155" s="22" t="str">
        <f aca="false">IF(F155="Physical", "Very Low", IF(F155="Local", "Low", IF(F155="Adjacent", "Medium", IF(F155="Network", "High", ""))))</f>
        <v/>
      </c>
      <c r="R155" s="22" t="str">
        <f aca="false">IF(AE155&gt;=Reference!$D$2, Reference!$G$2, IF(AE155&gt;=Reference!$D$3, Reference!$E$3, IF(AE155&gt;=Reference!$D$4, Reference!$E$4, IF(AE155&gt;=Reference!$D$5, Reference!$E$5, ""))))</f>
        <v>Low</v>
      </c>
      <c r="S155" s="27"/>
      <c r="T155" s="28"/>
      <c r="U155" s="15"/>
      <c r="V155" s="15"/>
      <c r="W155" s="15"/>
      <c r="X155" s="23"/>
      <c r="Y155" s="16" t="n">
        <f aca="false">IF(H155=Reference!$A$12, Reference!$C$12, IF(H155=Reference!$A$11, Reference!$C$11, IF(H155=Reference!$A$10, Reference!$C$10, IF(H155=Reference!$A$9, Reference!$C$9, 0))))</f>
        <v>0</v>
      </c>
      <c r="Z155" s="16" t="n">
        <f aca="false">IF(J155=Reference!$A$20, Reference!$C$20, IF(J155=Reference!$A$19, Reference!$C$19, IF(J155=Reference!$A$18, Reference!$C$18, IF(J155=Reference!$A$17, Reference!$C$17, 0))))</f>
        <v>0</v>
      </c>
      <c r="AA155" s="16" t="n">
        <f aca="false">IF(L155=Reference!$A$28, Reference!$C$28, IF(L155=Reference!$A$27, Reference!$C$27, IF(L155=Reference!$A$26, Reference!$C$26, IF(L155=Reference!$A$25, Reference!$C$25, 0))))</f>
        <v>0</v>
      </c>
      <c r="AB155" s="16" t="n">
        <f aca="false">IF(N155=Reference!$A$36, Reference!$C$36, IF(N155=Reference!$A$35, Reference!$C$35, IF(N155=Reference!$A$34, Reference!$C$34, IF(N155=Reference!$A$33, Reference!$C$33, 0))))</f>
        <v>0</v>
      </c>
      <c r="AC155" s="16" t="n">
        <f aca="false">(Reference!$B$2*Y155 + Reference!$B$3*AA155 + Reference!$B$4*Z155 + Reference!$B$5 * AB155)/4</f>
        <v>0</v>
      </c>
      <c r="AD155" s="16" t="n">
        <f aca="false">IF(Q155=Reference!$C$41, Reference!$D$41, IF(Q155=Reference!$C$42, Reference!$D$42, IF(Q155=Reference!$C$43, Reference!$D$43, IF(Q155=Reference!$C$44, Reference!$D$44, 0))))</f>
        <v>0</v>
      </c>
      <c r="AE155" s="16" t="n">
        <f aca="false">1 + (AC155 * AD155)</f>
        <v>1</v>
      </c>
    </row>
    <row r="156" customFormat="false" ht="12.75" hidden="false" customHeight="true" outlineLevel="0" collapsed="false">
      <c r="A156" s="24"/>
      <c r="B156" s="15"/>
      <c r="C156" s="15"/>
      <c r="D156" s="25"/>
      <c r="E156" s="25"/>
      <c r="F156" s="15"/>
      <c r="G156" s="15"/>
      <c r="H156" s="15"/>
      <c r="I156" s="15"/>
      <c r="J156" s="15"/>
      <c r="K156" s="15"/>
      <c r="L156" s="15"/>
      <c r="M156" s="15"/>
      <c r="N156" s="15"/>
      <c r="O156" s="15"/>
      <c r="P156" s="22" t="str">
        <f aca="false">IF(AC156&gt;=Reference!$H$2, Reference!$G$2, IF(AC156&gt;=Reference!$H$3, Reference!$G$3, IF(AC156&gt;=Reference!$H$4, Reference!$G$4, IF(AC156&gt;=Reference!$H$5, Reference!$G$5, ""))))</f>
        <v/>
      </c>
      <c r="Q156" s="22" t="str">
        <f aca="false">IF(F156="Physical", "Very Low", IF(F156="Local", "Low", IF(F156="Adjacent", "Medium", IF(F156="Network", "High", ""))))</f>
        <v/>
      </c>
      <c r="R156" s="22" t="str">
        <f aca="false">IF(AE156&gt;=Reference!$D$2, Reference!$G$2, IF(AE156&gt;=Reference!$D$3, Reference!$E$3, IF(AE156&gt;=Reference!$D$4, Reference!$E$4, IF(AE156&gt;=Reference!$D$5, Reference!$E$5, ""))))</f>
        <v>Low</v>
      </c>
      <c r="S156" s="27"/>
      <c r="T156" s="32"/>
      <c r="U156" s="15"/>
      <c r="V156" s="15"/>
      <c r="W156" s="33"/>
      <c r="Y156" s="16" t="n">
        <f aca="false">IF(H156=Reference!$A$12, Reference!$C$12, IF(H156=Reference!$A$11, Reference!$C$11, IF(H156=Reference!$A$10, Reference!$C$10, IF(H156=Reference!$A$9, Reference!$C$9, 0))))</f>
        <v>0</v>
      </c>
      <c r="Z156" s="16" t="n">
        <f aca="false">IF(J156=Reference!$A$20, Reference!$C$20, IF(J156=Reference!$A$19, Reference!$C$19, IF(J156=Reference!$A$18, Reference!$C$18, IF(J156=Reference!$A$17, Reference!$C$17, 0))))</f>
        <v>0</v>
      </c>
      <c r="AA156" s="16" t="n">
        <f aca="false">IF(L156=Reference!$A$28, Reference!$C$28, IF(L156=Reference!$A$27, Reference!$C$27, IF(L156=Reference!$A$26, Reference!$C$26, IF(L156=Reference!$A$25, Reference!$C$25, 0))))</f>
        <v>0</v>
      </c>
      <c r="AB156" s="16" t="n">
        <f aca="false">IF(N156=Reference!$A$36, Reference!$C$36, IF(N156=Reference!$A$35, Reference!$C$35, IF(N156=Reference!$A$34, Reference!$C$34, IF(N156=Reference!$A$33, Reference!$C$33, 0))))</f>
        <v>0</v>
      </c>
      <c r="AC156" s="16" t="n">
        <f aca="false">(Reference!$B$2*Y156 + Reference!$B$3*AA156 + Reference!$B$4*Z156 + Reference!$B$5 * AB156)/4</f>
        <v>0</v>
      </c>
      <c r="AD156" s="16" t="n">
        <f aca="false">IF(Q156=Reference!$C$41, Reference!$D$41, IF(Q156=Reference!$C$42, Reference!$D$42, IF(Q156=Reference!$C$43, Reference!$D$43, IF(Q156=Reference!$C$44, Reference!$D$44, 0))))</f>
        <v>0</v>
      </c>
      <c r="AE156" s="16" t="n">
        <f aca="false">1 + (AC156 * AD156)</f>
        <v>1</v>
      </c>
    </row>
    <row r="157" customFormat="false" ht="12.75" hidden="false" customHeight="true" outlineLevel="0" collapsed="false">
      <c r="A157" s="24"/>
      <c r="B157" s="15"/>
      <c r="C157" s="15"/>
      <c r="D157" s="25"/>
      <c r="E157" s="31"/>
      <c r="F157" s="15"/>
      <c r="G157" s="15"/>
      <c r="H157" s="15"/>
      <c r="I157" s="26"/>
      <c r="J157" s="15"/>
      <c r="K157" s="26"/>
      <c r="L157" s="15"/>
      <c r="M157" s="26"/>
      <c r="N157" s="15"/>
      <c r="O157" s="26"/>
      <c r="P157" s="22" t="str">
        <f aca="false">IF(AC157&gt;=Reference!$H$2, Reference!$G$2, IF(AC157&gt;=Reference!$H$3, Reference!$G$3, IF(AC157&gt;=Reference!$H$4, Reference!$G$4, IF(AC157&gt;=Reference!$H$5, Reference!$G$5, ""))))</f>
        <v/>
      </c>
      <c r="Q157" s="22" t="str">
        <f aca="false">IF(F157="Physical", "Very Low", IF(F157="Local", "Low", IF(F157="Adjacent", "Medium", IF(F157="Network", "High", ""))))</f>
        <v/>
      </c>
      <c r="R157" s="22" t="str">
        <f aca="false">IF(AE157&gt;=Reference!$D$2, Reference!$G$2, IF(AE157&gt;=Reference!$D$3, Reference!$E$3, IF(AE157&gt;=Reference!$D$4, Reference!$E$4, IF(AE157&gt;=Reference!$D$5, Reference!$E$5, ""))))</f>
        <v>Low</v>
      </c>
      <c r="S157" s="27"/>
      <c r="T157" s="43"/>
      <c r="U157" s="26"/>
      <c r="V157" s="26"/>
      <c r="W157" s="15"/>
      <c r="Y157" s="16" t="n">
        <f aca="false">IF(H157=Reference!$A$12, Reference!$C$12, IF(H157=Reference!$A$11, Reference!$C$11, IF(H157=Reference!$A$10, Reference!$C$10, IF(H157=Reference!$A$9, Reference!$C$9, 0))))</f>
        <v>0</v>
      </c>
      <c r="Z157" s="16" t="n">
        <f aca="false">IF(J157=Reference!$A$20, Reference!$C$20, IF(J157=Reference!$A$19, Reference!$C$19, IF(J157=Reference!$A$18, Reference!$C$18, IF(J157=Reference!$A$17, Reference!$C$17, 0))))</f>
        <v>0</v>
      </c>
      <c r="AA157" s="16" t="n">
        <f aca="false">IF(L157=Reference!$A$28, Reference!$C$28, IF(L157=Reference!$A$27, Reference!$C$27, IF(L157=Reference!$A$26, Reference!$C$26, IF(L157=Reference!$A$25, Reference!$C$25, 0))))</f>
        <v>0</v>
      </c>
      <c r="AB157" s="16" t="n">
        <f aca="false">IF(N157=Reference!$A$36, Reference!$C$36, IF(N157=Reference!$A$35, Reference!$C$35, IF(N157=Reference!$A$34, Reference!$C$34, IF(N157=Reference!$A$33, Reference!$C$33, 0))))</f>
        <v>0</v>
      </c>
      <c r="AC157" s="16" t="n">
        <f aca="false">(Reference!$B$2*Y157 + Reference!$B$3*AA157 + Reference!$B$4*Z157 + Reference!$B$5 * AB157)/4</f>
        <v>0</v>
      </c>
      <c r="AD157" s="16" t="n">
        <f aca="false">IF(Q157=Reference!$C$41, Reference!$D$41, IF(Q157=Reference!$C$42, Reference!$D$42, IF(Q157=Reference!$C$43, Reference!$D$43, IF(Q157=Reference!$C$44, Reference!$D$44, 0))))</f>
        <v>0</v>
      </c>
      <c r="AE157" s="16" t="n">
        <f aca="false">1 + (AC157 * AD157)</f>
        <v>1</v>
      </c>
    </row>
    <row r="158" customFormat="false" ht="12.75" hidden="false" customHeight="true" outlineLevel="0" collapsed="false">
      <c r="A158" s="24"/>
      <c r="B158" s="15"/>
      <c r="C158" s="15"/>
      <c r="D158" s="25"/>
      <c r="E158" s="31"/>
      <c r="F158" s="15"/>
      <c r="G158" s="15"/>
      <c r="H158" s="15"/>
      <c r="I158" s="26"/>
      <c r="J158" s="15"/>
      <c r="K158" s="26"/>
      <c r="L158" s="15"/>
      <c r="M158" s="26"/>
      <c r="N158" s="15"/>
      <c r="O158" s="26"/>
      <c r="P158" s="22" t="str">
        <f aca="false">IF(AC158&gt;=Reference!$H$2, Reference!$G$2, IF(AC158&gt;=Reference!$H$3, Reference!$G$3, IF(AC158&gt;=Reference!$H$4, Reference!$G$4, IF(AC158&gt;=Reference!$H$5, Reference!$G$5, ""))))</f>
        <v/>
      </c>
      <c r="Q158" s="22" t="str">
        <f aca="false">IF(F158="Physical", "Very Low", IF(F158="Local", "Low", IF(F158="Adjacent", "Medium", IF(F158="Network", "High", ""))))</f>
        <v/>
      </c>
      <c r="R158" s="22" t="str">
        <f aca="false">IF(AE158&gt;=Reference!$D$2, Reference!$G$2, IF(AE158&gt;=Reference!$D$3, Reference!$E$3, IF(AE158&gt;=Reference!$D$4, Reference!$E$4, IF(AE158&gt;=Reference!$D$5, Reference!$E$5, ""))))</f>
        <v>Low</v>
      </c>
      <c r="S158" s="27"/>
      <c r="T158" s="28"/>
      <c r="U158" s="26"/>
      <c r="V158" s="26"/>
      <c r="W158" s="15"/>
      <c r="Y158" s="16" t="n">
        <f aca="false">IF(H158=Reference!$A$12, Reference!$C$12, IF(H158=Reference!$A$11, Reference!$C$11, IF(H158=Reference!$A$10, Reference!$C$10, IF(H158=Reference!$A$9, Reference!$C$9, 0))))</f>
        <v>0</v>
      </c>
      <c r="Z158" s="16" t="n">
        <f aca="false">IF(J158=Reference!$A$20, Reference!$C$20, IF(J158=Reference!$A$19, Reference!$C$19, IF(J158=Reference!$A$18, Reference!$C$18, IF(J158=Reference!$A$17, Reference!$C$17, 0))))</f>
        <v>0</v>
      </c>
      <c r="AA158" s="16" t="n">
        <f aca="false">IF(L158=Reference!$A$28, Reference!$C$28, IF(L158=Reference!$A$27, Reference!$C$27, IF(L158=Reference!$A$26, Reference!$C$26, IF(L158=Reference!$A$25, Reference!$C$25, 0))))</f>
        <v>0</v>
      </c>
      <c r="AB158" s="16" t="n">
        <f aca="false">IF(N158=Reference!$A$36, Reference!$C$36, IF(N158=Reference!$A$35, Reference!$C$35, IF(N158=Reference!$A$34, Reference!$C$34, IF(N158=Reference!$A$33, Reference!$C$33, 0))))</f>
        <v>0</v>
      </c>
      <c r="AC158" s="16" t="n">
        <f aca="false">(Reference!$B$2*Y158 + Reference!$B$3*AA158 + Reference!$B$4*Z158 + Reference!$B$5 * AB158)/4</f>
        <v>0</v>
      </c>
      <c r="AD158" s="16" t="n">
        <f aca="false">IF(Q158=Reference!$C$41, Reference!$D$41, IF(Q158=Reference!$C$42, Reference!$D$42, IF(Q158=Reference!$C$43, Reference!$D$43, IF(Q158=Reference!$C$44, Reference!$D$44, 0))))</f>
        <v>0</v>
      </c>
      <c r="AE158" s="16" t="n">
        <f aca="false">1 + (AC158 * AD158)</f>
        <v>1</v>
      </c>
    </row>
    <row r="159" customFormat="false" ht="12.75" hidden="false" customHeight="true" outlineLevel="0" collapsed="false">
      <c r="A159" s="24"/>
      <c r="B159" s="15"/>
      <c r="C159" s="15"/>
      <c r="D159" s="25"/>
      <c r="E159" s="25"/>
      <c r="F159" s="15"/>
      <c r="G159" s="15"/>
      <c r="H159" s="15"/>
      <c r="I159" s="15"/>
      <c r="J159" s="15"/>
      <c r="K159" s="26"/>
      <c r="L159" s="15"/>
      <c r="M159" s="15"/>
      <c r="N159" s="15"/>
      <c r="O159" s="15"/>
      <c r="P159" s="22" t="str">
        <f aca="false">IF(AC159&gt;=Reference!$H$2, Reference!$G$2, IF(AC159&gt;=Reference!$H$3, Reference!$G$3, IF(AC159&gt;=Reference!$H$4, Reference!$G$4, IF(AC159&gt;=Reference!$H$5, Reference!$G$5, ""))))</f>
        <v/>
      </c>
      <c r="Q159" s="22" t="str">
        <f aca="false">IF(F159="Physical", "Very Low", IF(F159="Local", "Low", IF(F159="Adjacent", "Medium", IF(F159="Network", "High", ""))))</f>
        <v/>
      </c>
      <c r="R159" s="22" t="str">
        <f aca="false">IF(AE159&gt;=Reference!$D$2, Reference!$G$2, IF(AE159&gt;=Reference!$D$3, Reference!$E$3, IF(AE159&gt;=Reference!$D$4, Reference!$E$4, IF(AE159&gt;=Reference!$D$5, Reference!$E$5, ""))))</f>
        <v>Low</v>
      </c>
      <c r="S159" s="27"/>
      <c r="T159" s="28"/>
      <c r="U159" s="15"/>
      <c r="V159" s="15"/>
      <c r="W159" s="15"/>
      <c r="Y159" s="16" t="n">
        <f aca="false">IF(H159=Reference!$A$12, Reference!$C$12, IF(H159=Reference!$A$11, Reference!$C$11, IF(H159=Reference!$A$10, Reference!$C$10, IF(H159=Reference!$A$9, Reference!$C$9, 0))))</f>
        <v>0</v>
      </c>
      <c r="Z159" s="16" t="n">
        <f aca="false">IF(J159=Reference!$A$20, Reference!$C$20, IF(J159=Reference!$A$19, Reference!$C$19, IF(J159=Reference!$A$18, Reference!$C$18, IF(J159=Reference!$A$17, Reference!$C$17, 0))))</f>
        <v>0</v>
      </c>
      <c r="AA159" s="16" t="n">
        <f aca="false">IF(L159=Reference!$A$28, Reference!$C$28, IF(L159=Reference!$A$27, Reference!$C$27, IF(L159=Reference!$A$26, Reference!$C$26, IF(L159=Reference!$A$25, Reference!$C$25, 0))))</f>
        <v>0</v>
      </c>
      <c r="AB159" s="16" t="n">
        <f aca="false">IF(N159=Reference!$A$36, Reference!$C$36, IF(N159=Reference!$A$35, Reference!$C$35, IF(N159=Reference!$A$34, Reference!$C$34, IF(N159=Reference!$A$33, Reference!$C$33, 0))))</f>
        <v>0</v>
      </c>
      <c r="AC159" s="16" t="n">
        <f aca="false">(Reference!$B$2*Y159 + Reference!$B$3*AA159 + Reference!$B$4*Z159 + Reference!$B$5 * AB159)/4</f>
        <v>0</v>
      </c>
      <c r="AD159" s="16" t="n">
        <f aca="false">IF(Q159=Reference!$C$41, Reference!$D$41, IF(Q159=Reference!$C$42, Reference!$D$42, IF(Q159=Reference!$C$43, Reference!$D$43, IF(Q159=Reference!$C$44, Reference!$D$44, 0))))</f>
        <v>0</v>
      </c>
      <c r="AE159" s="16" t="n">
        <f aca="false">1 + (AC159 * AD159)</f>
        <v>1</v>
      </c>
    </row>
    <row r="160" customFormat="false" ht="12.75" hidden="false" customHeight="true" outlineLevel="0" collapsed="false">
      <c r="A160" s="24"/>
      <c r="B160" s="15"/>
      <c r="C160" s="15"/>
      <c r="D160" s="25"/>
      <c r="E160" s="25"/>
      <c r="F160" s="15"/>
      <c r="G160" s="15"/>
      <c r="H160" s="15"/>
      <c r="I160" s="15"/>
      <c r="J160" s="15"/>
      <c r="K160" s="15"/>
      <c r="L160" s="15"/>
      <c r="M160" s="15"/>
      <c r="N160" s="15"/>
      <c r="O160" s="15"/>
      <c r="P160" s="22" t="str">
        <f aca="false">IF(AC160&gt;=Reference!$H$2, Reference!$G$2, IF(AC160&gt;=Reference!$H$3, Reference!$G$3, IF(AC160&gt;=Reference!$H$4, Reference!$G$4, IF(AC160&gt;=Reference!$H$5, Reference!$G$5, ""))))</f>
        <v/>
      </c>
      <c r="Q160" s="22" t="str">
        <f aca="false">IF(F160="Physical", "Very Low", IF(F160="Local", "Low", IF(F160="Adjacent", "Medium", IF(F160="Network", "High", ""))))</f>
        <v/>
      </c>
      <c r="R160" s="22" t="str">
        <f aca="false">IF(AE160&gt;=Reference!$D$2, Reference!$G$2, IF(AE160&gt;=Reference!$D$3, Reference!$E$3, IF(AE160&gt;=Reference!$D$4, Reference!$E$4, IF(AE160&gt;=Reference!$D$5, Reference!$E$5, ""))))</f>
        <v>Low</v>
      </c>
      <c r="S160" s="27"/>
      <c r="T160" s="28"/>
      <c r="U160" s="15"/>
      <c r="V160" s="15"/>
      <c r="W160" s="15"/>
      <c r="Y160" s="16" t="n">
        <f aca="false">IF(H160=Reference!$A$12, Reference!$C$12, IF(H160=Reference!$A$11, Reference!$C$11, IF(H160=Reference!$A$10, Reference!$C$10, IF(H160=Reference!$A$9, Reference!$C$9, 0))))</f>
        <v>0</v>
      </c>
      <c r="Z160" s="16" t="n">
        <f aca="false">IF(J160=Reference!$A$20, Reference!$C$20, IF(J160=Reference!$A$19, Reference!$C$19, IF(J160=Reference!$A$18, Reference!$C$18, IF(J160=Reference!$A$17, Reference!$C$17, 0))))</f>
        <v>0</v>
      </c>
      <c r="AA160" s="16" t="n">
        <f aca="false">IF(L160=Reference!$A$28, Reference!$C$28, IF(L160=Reference!$A$27, Reference!$C$27, IF(L160=Reference!$A$26, Reference!$C$26, IF(L160=Reference!$A$25, Reference!$C$25, 0))))</f>
        <v>0</v>
      </c>
      <c r="AB160" s="16" t="n">
        <f aca="false">IF(N160=Reference!$A$36, Reference!$C$36, IF(N160=Reference!$A$35, Reference!$C$35, IF(N160=Reference!$A$34, Reference!$C$34, IF(N160=Reference!$A$33, Reference!$C$33, 0))))</f>
        <v>0</v>
      </c>
      <c r="AC160" s="16" t="n">
        <f aca="false">(Reference!$B$2*Y160 + Reference!$B$3*AA160 + Reference!$B$4*Z160 + Reference!$B$5 * AB160)/4</f>
        <v>0</v>
      </c>
      <c r="AD160" s="16" t="n">
        <f aca="false">IF(Q160=Reference!$C$41, Reference!$D$41, IF(Q160=Reference!$C$42, Reference!$D$42, IF(Q160=Reference!$C$43, Reference!$D$43, IF(Q160=Reference!$C$44, Reference!$D$44, 0))))</f>
        <v>0</v>
      </c>
      <c r="AE160" s="16" t="n">
        <f aca="false">1 + (AC160 * AD160)</f>
        <v>1</v>
      </c>
    </row>
    <row r="161" customFormat="false" ht="12.75" hidden="false" customHeight="true" outlineLevel="0" collapsed="false">
      <c r="A161" s="24"/>
      <c r="B161" s="15"/>
      <c r="C161" s="15"/>
      <c r="D161" s="25"/>
      <c r="E161" s="25"/>
      <c r="F161" s="15"/>
      <c r="G161" s="15"/>
      <c r="H161" s="15"/>
      <c r="I161" s="15"/>
      <c r="J161" s="15"/>
      <c r="K161" s="15"/>
      <c r="L161" s="15"/>
      <c r="M161" s="15"/>
      <c r="N161" s="15"/>
      <c r="O161" s="15"/>
      <c r="P161" s="22" t="str">
        <f aca="false">IF(AC161&gt;=Reference!$H$2, Reference!$G$2, IF(AC161&gt;=Reference!$H$3, Reference!$G$3, IF(AC161&gt;=Reference!$H$4, Reference!$G$4, IF(AC161&gt;=Reference!$H$5, Reference!$G$5, ""))))</f>
        <v/>
      </c>
      <c r="Q161" s="22" t="str">
        <f aca="false">IF(F161="Physical", "Very Low", IF(F161="Local", "Low", IF(F161="Adjacent", "Medium", IF(F161="Network", "High", ""))))</f>
        <v/>
      </c>
      <c r="R161" s="22" t="str">
        <f aca="false">IF(AE161&gt;=Reference!$D$2, Reference!$G$2, IF(AE161&gt;=Reference!$D$3, Reference!$E$3, IF(AE161&gt;=Reference!$D$4, Reference!$E$4, IF(AE161&gt;=Reference!$D$5, Reference!$E$5, ""))))</f>
        <v>Low</v>
      </c>
      <c r="S161" s="27"/>
      <c r="T161" s="28"/>
      <c r="U161" s="15"/>
      <c r="V161" s="15"/>
      <c r="W161" s="15"/>
      <c r="Y161" s="16" t="n">
        <f aca="false">IF(H161=Reference!$A$12, Reference!$C$12, IF(H161=Reference!$A$11, Reference!$C$11, IF(H161=Reference!$A$10, Reference!$C$10, IF(H161=Reference!$A$9, Reference!$C$9, 0))))</f>
        <v>0</v>
      </c>
      <c r="Z161" s="16" t="n">
        <f aca="false">IF(J161=Reference!$A$20, Reference!$C$20, IF(J161=Reference!$A$19, Reference!$C$19, IF(J161=Reference!$A$18, Reference!$C$18, IF(J161=Reference!$A$17, Reference!$C$17, 0))))</f>
        <v>0</v>
      </c>
      <c r="AA161" s="16" t="n">
        <f aca="false">IF(L161=Reference!$A$28, Reference!$C$28, IF(L161=Reference!$A$27, Reference!$C$27, IF(L161=Reference!$A$26, Reference!$C$26, IF(L161=Reference!$A$25, Reference!$C$25, 0))))</f>
        <v>0</v>
      </c>
      <c r="AB161" s="16" t="n">
        <f aca="false">IF(N161=Reference!$A$36, Reference!$C$36, IF(N161=Reference!$A$35, Reference!$C$35, IF(N161=Reference!$A$34, Reference!$C$34, IF(N161=Reference!$A$33, Reference!$C$33, 0))))</f>
        <v>0</v>
      </c>
      <c r="AC161" s="16" t="n">
        <f aca="false">(Reference!$B$2*Y161 + Reference!$B$3*AA161 + Reference!$B$4*Z161 + Reference!$B$5 * AB161)/4</f>
        <v>0</v>
      </c>
      <c r="AD161" s="16" t="n">
        <f aca="false">IF(Q161=Reference!$C$41, Reference!$D$41, IF(Q161=Reference!$C$42, Reference!$D$42, IF(Q161=Reference!$C$43, Reference!$D$43, IF(Q161=Reference!$C$44, Reference!$D$44, 0))))</f>
        <v>0</v>
      </c>
      <c r="AE161" s="16" t="n">
        <f aca="false">1 + (AC161 * AD161)</f>
        <v>1</v>
      </c>
    </row>
    <row r="162" customFormat="false" ht="12.75" hidden="false" customHeight="true" outlineLevel="0" collapsed="false">
      <c r="A162" s="24"/>
      <c r="B162" s="15"/>
      <c r="C162" s="15"/>
      <c r="D162" s="25"/>
      <c r="E162" s="25"/>
      <c r="F162" s="15"/>
      <c r="G162" s="26"/>
      <c r="H162" s="15"/>
      <c r="I162" s="26"/>
      <c r="J162" s="15"/>
      <c r="K162" s="26"/>
      <c r="L162" s="15"/>
      <c r="M162" s="26"/>
      <c r="N162" s="15"/>
      <c r="O162" s="26"/>
      <c r="P162" s="22" t="str">
        <f aca="false">IF(AC162&gt;=Reference!$H$2, Reference!$G$2, IF(AC162&gt;=Reference!$H$3, Reference!$G$3, IF(AC162&gt;=Reference!$H$4, Reference!$G$4, IF(AC162&gt;=Reference!$H$5, Reference!$G$5, ""))))</f>
        <v/>
      </c>
      <c r="Q162" s="22" t="str">
        <f aca="false">IF(F162="Physical", "Very Low", IF(F162="Local", "Low", IF(F162="Adjacent", "Medium", IF(F162="Network", "High", ""))))</f>
        <v/>
      </c>
      <c r="R162" s="22" t="str">
        <f aca="false">IF(AE162&gt;=Reference!$D$2, Reference!$G$2, IF(AE162&gt;=Reference!$D$3, Reference!$E$3, IF(AE162&gt;=Reference!$D$4, Reference!$E$4, IF(AE162&gt;=Reference!$D$5, Reference!$E$5, ""))))</f>
        <v>Low</v>
      </c>
      <c r="S162" s="27"/>
      <c r="T162" s="26"/>
      <c r="U162" s="15"/>
      <c r="V162" s="15"/>
      <c r="W162" s="15"/>
      <c r="Y162" s="16" t="n">
        <f aca="false">IF(H162=Reference!$A$12, Reference!$C$12, IF(H162=Reference!$A$11, Reference!$C$11, IF(H162=Reference!$A$10, Reference!$C$10, IF(H162=Reference!$A$9, Reference!$C$9, 0))))</f>
        <v>0</v>
      </c>
      <c r="Z162" s="16" t="n">
        <f aca="false">IF(J162=Reference!$A$20, Reference!$C$20, IF(J162=Reference!$A$19, Reference!$C$19, IF(J162=Reference!$A$18, Reference!$C$18, IF(J162=Reference!$A$17, Reference!$C$17, 0))))</f>
        <v>0</v>
      </c>
      <c r="AA162" s="16" t="n">
        <f aca="false">IF(L162=Reference!$A$28, Reference!$C$28, IF(L162=Reference!$A$27, Reference!$C$27, IF(L162=Reference!$A$26, Reference!$C$26, IF(L162=Reference!$A$25, Reference!$C$25, 0))))</f>
        <v>0</v>
      </c>
      <c r="AB162" s="16" t="n">
        <f aca="false">IF(N162=Reference!$A$36, Reference!$C$36, IF(N162=Reference!$A$35, Reference!$C$35, IF(N162=Reference!$A$34, Reference!$C$34, IF(N162=Reference!$A$33, Reference!$C$33, 0))))</f>
        <v>0</v>
      </c>
      <c r="AC162" s="16" t="n">
        <f aca="false">(Reference!$B$2*Y162 + Reference!$B$3*AA162 + Reference!$B$4*Z162 + Reference!$B$5 * AB162)/4</f>
        <v>0</v>
      </c>
      <c r="AD162" s="16" t="n">
        <f aca="false">IF(Q162=Reference!$C$41, Reference!$D$41, IF(Q162=Reference!$C$42, Reference!$D$42, IF(Q162=Reference!$C$43, Reference!$D$43, IF(Q162=Reference!$C$44, Reference!$D$44, 0))))</f>
        <v>0</v>
      </c>
      <c r="AE162" s="16" t="n">
        <f aca="false">1 + (AC162 * AD162)</f>
        <v>1</v>
      </c>
    </row>
    <row r="163" customFormat="false" ht="12.75" hidden="false" customHeight="true" outlineLevel="0" collapsed="false">
      <c r="A163" s="24"/>
      <c r="B163" s="15"/>
      <c r="C163" s="15"/>
      <c r="D163" s="25"/>
      <c r="E163" s="31"/>
      <c r="F163" s="15"/>
      <c r="G163" s="15"/>
      <c r="H163" s="15"/>
      <c r="I163" s="15"/>
      <c r="J163" s="15"/>
      <c r="K163" s="15"/>
      <c r="L163" s="15"/>
      <c r="M163" s="15"/>
      <c r="N163" s="15"/>
      <c r="O163" s="15"/>
      <c r="P163" s="22" t="str">
        <f aca="false">IF(AC163&gt;=Reference!$H$2, Reference!$G$2, IF(AC163&gt;=Reference!$H$3, Reference!$G$3, IF(AC163&gt;=Reference!$H$4, Reference!$G$4, IF(AC163&gt;=Reference!$H$5, Reference!$G$5, ""))))</f>
        <v/>
      </c>
      <c r="Q163" s="22" t="str">
        <f aca="false">IF(F163="Physical", "Very Low", IF(F163="Local", "Low", IF(F163="Adjacent", "Medium", IF(F163="Network", "High", ""))))</f>
        <v/>
      </c>
      <c r="R163" s="22" t="str">
        <f aca="false">IF(AE163&gt;=Reference!$D$2, Reference!$G$2, IF(AE163&gt;=Reference!$D$3, Reference!$E$3, IF(AE163&gt;=Reference!$D$4, Reference!$E$4, IF(AE163&gt;=Reference!$D$5, Reference!$E$5, ""))))</f>
        <v>Low</v>
      </c>
      <c r="S163" s="27"/>
      <c r="T163" s="28"/>
      <c r="U163" s="15"/>
      <c r="V163" s="15"/>
      <c r="W163" s="15"/>
      <c r="Y163" s="16" t="n">
        <f aca="false">IF(H163=Reference!$A$12, Reference!$C$12, IF(H163=Reference!$A$11, Reference!$C$11, IF(H163=Reference!$A$10, Reference!$C$10, IF(H163=Reference!$A$9, Reference!$C$9, 0))))</f>
        <v>0</v>
      </c>
      <c r="Z163" s="16" t="n">
        <f aca="false">IF(J163=Reference!$A$20, Reference!$C$20, IF(J163=Reference!$A$19, Reference!$C$19, IF(J163=Reference!$A$18, Reference!$C$18, IF(J163=Reference!$A$17, Reference!$C$17, 0))))</f>
        <v>0</v>
      </c>
      <c r="AA163" s="16" t="n">
        <f aca="false">IF(L163=Reference!$A$28, Reference!$C$28, IF(L163=Reference!$A$27, Reference!$C$27, IF(L163=Reference!$A$26, Reference!$C$26, IF(L163=Reference!$A$25, Reference!$C$25, 0))))</f>
        <v>0</v>
      </c>
      <c r="AB163" s="16" t="n">
        <f aca="false">IF(N163=Reference!$A$36, Reference!$C$36, IF(N163=Reference!$A$35, Reference!$C$35, IF(N163=Reference!$A$34, Reference!$C$34, IF(N163=Reference!$A$33, Reference!$C$33, 0))))</f>
        <v>0</v>
      </c>
      <c r="AC163" s="16" t="n">
        <f aca="false">(Reference!$B$2*Y163 + Reference!$B$3*AA163 + Reference!$B$4*Z163 + Reference!$B$5 * AB163)/4</f>
        <v>0</v>
      </c>
      <c r="AD163" s="16" t="n">
        <f aca="false">IF(Q163=Reference!$C$41, Reference!$D$41, IF(Q163=Reference!$C$42, Reference!$D$42, IF(Q163=Reference!$C$43, Reference!$D$43, IF(Q163=Reference!$C$44, Reference!$D$44, 0))))</f>
        <v>0</v>
      </c>
      <c r="AE163" s="16" t="n">
        <f aca="false">1 + (AC163 * AD163)</f>
        <v>1</v>
      </c>
    </row>
    <row r="164" customFormat="false" ht="12.75" hidden="false" customHeight="true" outlineLevel="0" collapsed="false">
      <c r="A164" s="24"/>
      <c r="B164" s="15"/>
      <c r="C164" s="15"/>
      <c r="D164" s="31"/>
      <c r="E164" s="31"/>
      <c r="F164" s="15"/>
      <c r="G164" s="15"/>
      <c r="H164" s="15"/>
      <c r="I164" s="15"/>
      <c r="J164" s="15"/>
      <c r="K164" s="39"/>
      <c r="L164" s="15"/>
      <c r="M164" s="26"/>
      <c r="N164" s="15"/>
      <c r="O164" s="15"/>
      <c r="P164" s="22" t="str">
        <f aca="false">IF(AC164&gt;=Reference!$H$2, Reference!$G$2, IF(AC164&gt;=Reference!$H$3, Reference!$G$3, IF(AC164&gt;=Reference!$H$4, Reference!$G$4, IF(AC164&gt;=Reference!$H$5, Reference!$G$5, ""))))</f>
        <v/>
      </c>
      <c r="Q164" s="22" t="str">
        <f aca="false">IF(F164="Physical", "Very Low", IF(F164="Local", "Low", IF(F164="Adjacent", "Medium", IF(F164="Network", "High", ""))))</f>
        <v/>
      </c>
      <c r="R164" s="22" t="str">
        <f aca="false">IF(AE164&gt;=Reference!$D$2, Reference!$G$2, IF(AE164&gt;=Reference!$D$3, Reference!$E$3, IF(AE164&gt;=Reference!$D$4, Reference!$E$4, IF(AE164&gt;=Reference!$D$5, Reference!$E$5, ""))))</f>
        <v>Low</v>
      </c>
      <c r="S164" s="27"/>
      <c r="T164" s="28"/>
      <c r="U164" s="15"/>
      <c r="V164" s="15"/>
      <c r="W164" s="15"/>
      <c r="Y164" s="16" t="n">
        <f aca="false">IF(H164=Reference!$A$12, Reference!$C$12, IF(H164=Reference!$A$11, Reference!$C$11, IF(H164=Reference!$A$10, Reference!$C$10, IF(H164=Reference!$A$9, Reference!$C$9, 0))))</f>
        <v>0</v>
      </c>
      <c r="Z164" s="16" t="n">
        <f aca="false">IF(J164=Reference!$A$20, Reference!$C$20, IF(J164=Reference!$A$19, Reference!$C$19, IF(J164=Reference!$A$18, Reference!$C$18, IF(J164=Reference!$A$17, Reference!$C$17, 0))))</f>
        <v>0</v>
      </c>
      <c r="AA164" s="16" t="n">
        <f aca="false">IF(L164=Reference!$A$28, Reference!$C$28, IF(L164=Reference!$A$27, Reference!$C$27, IF(L164=Reference!$A$26, Reference!$C$26, IF(L164=Reference!$A$25, Reference!$C$25, 0))))</f>
        <v>0</v>
      </c>
      <c r="AB164" s="16" t="n">
        <f aca="false">IF(N164=Reference!$A$36, Reference!$C$36, IF(N164=Reference!$A$35, Reference!$C$35, IF(N164=Reference!$A$34, Reference!$C$34, IF(N164=Reference!$A$33, Reference!$C$33, 0))))</f>
        <v>0</v>
      </c>
      <c r="AC164" s="16" t="n">
        <f aca="false">(Reference!$B$2*Y164 + Reference!$B$3*AA164 + Reference!$B$4*Z164 + Reference!$B$5 * AB164)/4</f>
        <v>0</v>
      </c>
      <c r="AD164" s="16" t="n">
        <f aca="false">IF(Q164=Reference!$C$41, Reference!$D$41, IF(Q164=Reference!$C$42, Reference!$D$42, IF(Q164=Reference!$C$43, Reference!$D$43, IF(Q164=Reference!$C$44, Reference!$D$44, 0))))</f>
        <v>0</v>
      </c>
      <c r="AE164" s="16" t="n">
        <f aca="false">1 + (AC164 * AD164)</f>
        <v>1</v>
      </c>
    </row>
    <row r="165" customFormat="false" ht="12.75" hidden="false" customHeight="true" outlineLevel="0" collapsed="false">
      <c r="A165" s="24"/>
      <c r="B165" s="15"/>
      <c r="C165" s="15"/>
      <c r="D165" s="31"/>
      <c r="E165" s="31"/>
      <c r="F165" s="15"/>
      <c r="G165" s="26"/>
      <c r="H165" s="15"/>
      <c r="I165" s="26"/>
      <c r="J165" s="15"/>
      <c r="K165" s="15"/>
      <c r="L165" s="15"/>
      <c r="M165" s="26"/>
      <c r="N165" s="15"/>
      <c r="O165" s="26"/>
      <c r="P165" s="22" t="str">
        <f aca="false">IF(AC165&gt;=Reference!$H$2, Reference!$G$2, IF(AC165&gt;=Reference!$H$3, Reference!$G$3, IF(AC165&gt;=Reference!$H$4, Reference!$G$4, IF(AC165&gt;=Reference!$H$5, Reference!$G$5, ""))))</f>
        <v/>
      </c>
      <c r="Q165" s="22" t="str">
        <f aca="false">IF(F165="Physical", "Very Low", IF(F165="Local", "Low", IF(F165="Adjacent", "Medium", IF(F165="Network", "High", ""))))</f>
        <v/>
      </c>
      <c r="R165" s="22" t="str">
        <f aca="false">IF(AE165&gt;=Reference!$D$2, Reference!$G$2, IF(AE165&gt;=Reference!$D$3, Reference!$E$3, IF(AE165&gt;=Reference!$D$4, Reference!$E$4, IF(AE165&gt;=Reference!$D$5, Reference!$E$5, ""))))</f>
        <v>Low</v>
      </c>
      <c r="S165" s="27"/>
      <c r="T165" s="38"/>
      <c r="U165" s="15"/>
      <c r="V165" s="10"/>
      <c r="W165" s="15"/>
      <c r="Y165" s="16" t="n">
        <f aca="false">IF(H165=Reference!$A$12, Reference!$C$12, IF(H165=Reference!$A$11, Reference!$C$11, IF(H165=Reference!$A$10, Reference!$C$10, IF(H165=Reference!$A$9, Reference!$C$9, 0))))</f>
        <v>0</v>
      </c>
      <c r="Z165" s="16" t="n">
        <f aca="false">IF(J165=Reference!$A$20, Reference!$C$20, IF(J165=Reference!$A$19, Reference!$C$19, IF(J165=Reference!$A$18, Reference!$C$18, IF(J165=Reference!$A$17, Reference!$C$17, 0))))</f>
        <v>0</v>
      </c>
      <c r="AA165" s="16" t="n">
        <f aca="false">IF(L165=Reference!$A$28, Reference!$C$28, IF(L165=Reference!$A$27, Reference!$C$27, IF(L165=Reference!$A$26, Reference!$C$26, IF(L165=Reference!$A$25, Reference!$C$25, 0))))</f>
        <v>0</v>
      </c>
      <c r="AB165" s="16" t="n">
        <f aca="false">IF(N165=Reference!$A$36, Reference!$C$36, IF(N165=Reference!$A$35, Reference!$C$35, IF(N165=Reference!$A$34, Reference!$C$34, IF(N165=Reference!$A$33, Reference!$C$33, 0))))</f>
        <v>0</v>
      </c>
      <c r="AC165" s="16" t="n">
        <f aca="false">(Reference!$B$2*Y165 + Reference!$B$3*AA165 + Reference!$B$4*Z165 + Reference!$B$5 * AB165)/4</f>
        <v>0</v>
      </c>
      <c r="AD165" s="16" t="n">
        <f aca="false">IF(Q165=Reference!$C$41, Reference!$D$41, IF(Q165=Reference!$C$42, Reference!$D$42, IF(Q165=Reference!$C$43, Reference!$D$43, IF(Q165=Reference!$C$44, Reference!$D$44, 0))))</f>
        <v>0</v>
      </c>
      <c r="AE165" s="16" t="n">
        <f aca="false">1 + (AC165 * AD165)</f>
        <v>1</v>
      </c>
    </row>
    <row r="166" customFormat="false" ht="12.75" hidden="false" customHeight="true" outlineLevel="0" collapsed="false">
      <c r="A166" s="24"/>
      <c r="B166" s="15"/>
      <c r="C166" s="15"/>
      <c r="D166" s="25"/>
      <c r="E166" s="25"/>
      <c r="F166" s="15"/>
      <c r="G166" s="15"/>
      <c r="H166" s="15"/>
      <c r="I166" s="15"/>
      <c r="J166" s="15"/>
      <c r="K166" s="26"/>
      <c r="L166" s="15"/>
      <c r="M166" s="15"/>
      <c r="N166" s="15"/>
      <c r="O166" s="15"/>
      <c r="P166" s="22" t="str">
        <f aca="false">IF(AC166&gt;=Reference!$H$2, Reference!$G$2, IF(AC166&gt;=Reference!$H$3, Reference!$G$3, IF(AC166&gt;=Reference!$H$4, Reference!$G$4, IF(AC166&gt;=Reference!$H$5, Reference!$G$5, ""))))</f>
        <v/>
      </c>
      <c r="Q166" s="22" t="str">
        <f aca="false">IF(F166="Physical", "Very Low", IF(F166="Local", "Low", IF(F166="Adjacent", "Medium", IF(F166="Network", "High", ""))))</f>
        <v/>
      </c>
      <c r="R166" s="22" t="str">
        <f aca="false">IF(AE166&gt;=Reference!$D$2, Reference!$G$2, IF(AE166&gt;=Reference!$D$3, Reference!$E$3, IF(AE166&gt;=Reference!$D$4, Reference!$E$4, IF(AE166&gt;=Reference!$D$5, Reference!$E$5, ""))))</f>
        <v>Low</v>
      </c>
      <c r="S166" s="27"/>
      <c r="T166" s="28"/>
      <c r="U166" s="15"/>
      <c r="V166" s="15"/>
      <c r="W166" s="15"/>
      <c r="Y166" s="16" t="n">
        <f aca="false">IF(H166=Reference!$A$12, Reference!$C$12, IF(H166=Reference!$A$11, Reference!$C$11, IF(H166=Reference!$A$10, Reference!$C$10, IF(H166=Reference!$A$9, Reference!$C$9, 0))))</f>
        <v>0</v>
      </c>
      <c r="Z166" s="16" t="n">
        <f aca="false">IF(J166=Reference!$A$20, Reference!$C$20, IF(J166=Reference!$A$19, Reference!$C$19, IF(J166=Reference!$A$18, Reference!$C$18, IF(J166=Reference!$A$17, Reference!$C$17, 0))))</f>
        <v>0</v>
      </c>
      <c r="AA166" s="16" t="n">
        <f aca="false">IF(L166=Reference!$A$28, Reference!$C$28, IF(L166=Reference!$A$27, Reference!$C$27, IF(L166=Reference!$A$26, Reference!$C$26, IF(L166=Reference!$A$25, Reference!$C$25, 0))))</f>
        <v>0</v>
      </c>
      <c r="AB166" s="16" t="n">
        <f aca="false">IF(N166=Reference!$A$36, Reference!$C$36, IF(N166=Reference!$A$35, Reference!$C$35, IF(N166=Reference!$A$34, Reference!$C$34, IF(N166=Reference!$A$33, Reference!$C$33, 0))))</f>
        <v>0</v>
      </c>
      <c r="AC166" s="16" t="n">
        <f aca="false">(Reference!$B$2*Y166 + Reference!$B$3*AA166 + Reference!$B$4*Z166 + Reference!$B$5 * AB166)/4</f>
        <v>0</v>
      </c>
      <c r="AD166" s="16" t="n">
        <f aca="false">IF(Q166=Reference!$C$41, Reference!$D$41, IF(Q166=Reference!$C$42, Reference!$D$42, IF(Q166=Reference!$C$43, Reference!$D$43, IF(Q166=Reference!$C$44, Reference!$D$44, 0))))</f>
        <v>0</v>
      </c>
      <c r="AE166" s="16" t="n">
        <f aca="false">1 + (AC166 * AD166)</f>
        <v>1</v>
      </c>
    </row>
    <row r="167" customFormat="false" ht="12.75" hidden="false" customHeight="true" outlineLevel="0" collapsed="false">
      <c r="A167" s="24"/>
      <c r="B167" s="15"/>
      <c r="C167" s="15"/>
      <c r="D167" s="25"/>
      <c r="E167" s="25"/>
      <c r="F167" s="15"/>
      <c r="G167" s="15"/>
      <c r="H167" s="15"/>
      <c r="I167" s="15"/>
      <c r="J167" s="15"/>
      <c r="K167" s="15"/>
      <c r="L167" s="15"/>
      <c r="M167" s="15"/>
      <c r="N167" s="15"/>
      <c r="O167" s="15"/>
      <c r="P167" s="22" t="str">
        <f aca="false">IF(AC167&gt;=Reference!$H$2, Reference!$G$2, IF(AC167&gt;=Reference!$H$3, Reference!$G$3, IF(AC167&gt;=Reference!$H$4, Reference!$G$4, IF(AC167&gt;=Reference!$H$5, Reference!$G$5, ""))))</f>
        <v/>
      </c>
      <c r="Q167" s="22" t="str">
        <f aca="false">IF(F167="Physical", "Very Low", IF(F167="Local", "Low", IF(F167="Adjacent", "Medium", IF(F167="Network", "High", ""))))</f>
        <v/>
      </c>
      <c r="R167" s="22" t="str">
        <f aca="false">IF(AE167&gt;=Reference!$D$2, Reference!$G$2, IF(AE167&gt;=Reference!$D$3, Reference!$E$3, IF(AE167&gt;=Reference!$D$4, Reference!$E$4, IF(AE167&gt;=Reference!$D$5, Reference!$E$5, ""))))</f>
        <v>Low</v>
      </c>
      <c r="S167" s="27"/>
      <c r="T167" s="28"/>
      <c r="U167" s="15"/>
      <c r="V167" s="15"/>
      <c r="W167" s="15"/>
      <c r="X167" s="23"/>
      <c r="Y167" s="16" t="n">
        <f aca="false">IF(H167=Reference!$A$12, Reference!$C$12, IF(H167=Reference!$A$11, Reference!$C$11, IF(H167=Reference!$A$10, Reference!$C$10, IF(H167=Reference!$A$9, Reference!$C$9, 0))))</f>
        <v>0</v>
      </c>
      <c r="Z167" s="16" t="n">
        <f aca="false">IF(J167=Reference!$A$20, Reference!$C$20, IF(J167=Reference!$A$19, Reference!$C$19, IF(J167=Reference!$A$18, Reference!$C$18, IF(J167=Reference!$A$17, Reference!$C$17, 0))))</f>
        <v>0</v>
      </c>
      <c r="AA167" s="16" t="n">
        <f aca="false">IF(L167=Reference!$A$28, Reference!$C$28, IF(L167=Reference!$A$27, Reference!$C$27, IF(L167=Reference!$A$26, Reference!$C$26, IF(L167=Reference!$A$25, Reference!$C$25, 0))))</f>
        <v>0</v>
      </c>
      <c r="AB167" s="16" t="n">
        <f aca="false">IF(N167=Reference!$A$36, Reference!$C$36, IF(N167=Reference!$A$35, Reference!$C$35, IF(N167=Reference!$A$34, Reference!$C$34, IF(N167=Reference!$A$33, Reference!$C$33, 0))))</f>
        <v>0</v>
      </c>
      <c r="AC167" s="16" t="n">
        <f aca="false">(Reference!$B$2*Y167 + Reference!$B$3*AA167 + Reference!$B$4*Z167 + Reference!$B$5 * AB167)/4</f>
        <v>0</v>
      </c>
      <c r="AD167" s="16" t="n">
        <f aca="false">IF(Q167=Reference!$C$41, Reference!$D$41, IF(Q167=Reference!$C$42, Reference!$D$42, IF(Q167=Reference!$C$43, Reference!$D$43, IF(Q167=Reference!$C$44, Reference!$D$44, 0))))</f>
        <v>0</v>
      </c>
      <c r="AE167" s="16" t="n">
        <f aca="false">1 + (AC167 * AD167)</f>
        <v>1</v>
      </c>
    </row>
    <row r="168" customFormat="false" ht="12.75" hidden="false" customHeight="true" outlineLevel="0" collapsed="false">
      <c r="A168" s="31"/>
      <c r="B168" s="15"/>
      <c r="C168" s="15"/>
      <c r="E168" s="31"/>
      <c r="F168" s="15"/>
      <c r="G168" s="26"/>
      <c r="H168" s="15"/>
      <c r="I168" s="26"/>
      <c r="J168" s="15"/>
      <c r="K168" s="15"/>
      <c r="L168" s="15"/>
      <c r="M168" s="26"/>
      <c r="N168" s="15"/>
      <c r="O168" s="26"/>
      <c r="P168" s="22" t="str">
        <f aca="false">IF(AC168&gt;=Reference!$H$2, Reference!$G$2, IF(AC168&gt;=Reference!$H$3, Reference!$G$3, IF(AC168&gt;=Reference!$H$4, Reference!$G$4, IF(AC168&gt;=Reference!$H$5, Reference!$G$5, ""))))</f>
        <v/>
      </c>
      <c r="Q168" s="22" t="str">
        <f aca="false">IF(F168="Physical", "Very Low", IF(F168="Local", "Low", IF(F168="Adjacent", "Medium", IF(F168="Network", "High", ""))))</f>
        <v/>
      </c>
      <c r="R168" s="22" t="str">
        <f aca="false">IF(AE168&gt;=Reference!$D$2, Reference!$G$2, IF(AE168&gt;=Reference!$D$3, Reference!$E$3, IF(AE168&gt;=Reference!$D$4, Reference!$E$4, IF(AE168&gt;=Reference!$D$5, Reference!$E$5, ""))))</f>
        <v>Low</v>
      </c>
      <c r="S168" s="27"/>
      <c r="T168" s="40"/>
      <c r="U168" s="26"/>
      <c r="V168" s="40"/>
      <c r="W168" s="15"/>
      <c r="Y168" s="16" t="n">
        <f aca="false">IF(H168=Reference!$A$12, Reference!$C$12, IF(H168=Reference!$A$11, Reference!$C$11, IF(H168=Reference!$A$10, Reference!$C$10, IF(H168=Reference!$A$9, Reference!$C$9, 0))))</f>
        <v>0</v>
      </c>
      <c r="Z168" s="16" t="n">
        <f aca="false">IF(J168=Reference!$A$20, Reference!$C$20, IF(J168=Reference!$A$19, Reference!$C$19, IF(J168=Reference!$A$18, Reference!$C$18, IF(J168=Reference!$A$17, Reference!$C$17, 0))))</f>
        <v>0</v>
      </c>
      <c r="AA168" s="16" t="n">
        <f aca="false">IF(L168=Reference!$A$28, Reference!$C$28, IF(L168=Reference!$A$27, Reference!$C$27, IF(L168=Reference!$A$26, Reference!$C$26, IF(L168=Reference!$A$25, Reference!$C$25, 0))))</f>
        <v>0</v>
      </c>
      <c r="AB168" s="16" t="n">
        <f aca="false">IF(N168=Reference!$A$36, Reference!$C$36, IF(N168=Reference!$A$35, Reference!$C$35, IF(N168=Reference!$A$34, Reference!$C$34, IF(N168=Reference!$A$33, Reference!$C$33, 0))))</f>
        <v>0</v>
      </c>
      <c r="AC168" s="16" t="n">
        <f aca="false">(Reference!$B$2*Y168 + Reference!$B$3*AA168 + Reference!$B$4*Z168 + Reference!$B$5 * AB168)/4</f>
        <v>0</v>
      </c>
      <c r="AD168" s="16" t="n">
        <f aca="false">IF(Q168=Reference!$C$41, Reference!$D$41, IF(Q168=Reference!$C$42, Reference!$D$42, IF(Q168=Reference!$C$43, Reference!$D$43, IF(Q168=Reference!$C$44, Reference!$D$44, 0))))</f>
        <v>0</v>
      </c>
      <c r="AE168" s="16" t="n">
        <f aca="false">1 + (AC168 * AD168)</f>
        <v>1</v>
      </c>
    </row>
    <row r="169" customFormat="false" ht="12.75" hidden="false" customHeight="true" outlineLevel="0" collapsed="false">
      <c r="A169" s="24"/>
      <c r="B169" s="15"/>
      <c r="C169" s="15"/>
      <c r="D169" s="25"/>
      <c r="E169" s="25"/>
      <c r="F169" s="15"/>
      <c r="G169" s="15"/>
      <c r="H169" s="15"/>
      <c r="I169" s="15"/>
      <c r="J169" s="15"/>
      <c r="K169" s="26"/>
      <c r="L169" s="15"/>
      <c r="M169" s="15"/>
      <c r="N169" s="15"/>
      <c r="O169" s="15"/>
      <c r="P169" s="22" t="str">
        <f aca="false">IF(AC169&gt;=Reference!$H$2, Reference!$G$2, IF(AC169&gt;=Reference!$H$3, Reference!$G$3, IF(AC169&gt;=Reference!$H$4, Reference!$G$4, IF(AC169&gt;=Reference!$H$5, Reference!$G$5, ""))))</f>
        <v/>
      </c>
      <c r="Q169" s="22" t="str">
        <f aca="false">IF(F169="Physical", "Very Low", IF(F169="Local", "Low", IF(F169="Adjacent", "Medium", IF(F169="Network", "High", ""))))</f>
        <v/>
      </c>
      <c r="R169" s="22" t="str">
        <f aca="false">IF(AE169&gt;=Reference!$D$2, Reference!$G$2, IF(AE169&gt;=Reference!$D$3, Reference!$E$3, IF(AE169&gt;=Reference!$D$4, Reference!$E$4, IF(AE169&gt;=Reference!$D$5, Reference!$E$5, ""))))</f>
        <v>Low</v>
      </c>
      <c r="S169" s="27"/>
      <c r="T169" s="28"/>
      <c r="U169" s="15"/>
      <c r="V169" s="15"/>
      <c r="W169" s="15"/>
      <c r="Y169" s="16" t="n">
        <f aca="false">IF(H169=Reference!$A$12, Reference!$C$12, IF(H169=Reference!$A$11, Reference!$C$11, IF(H169=Reference!$A$10, Reference!$C$10, IF(H169=Reference!$A$9, Reference!$C$9, 0))))</f>
        <v>0</v>
      </c>
      <c r="Z169" s="16" t="n">
        <f aca="false">IF(J169=Reference!$A$20, Reference!$C$20, IF(J169=Reference!$A$19, Reference!$C$19, IF(J169=Reference!$A$18, Reference!$C$18, IF(J169=Reference!$A$17, Reference!$C$17, 0))))</f>
        <v>0</v>
      </c>
      <c r="AA169" s="16" t="n">
        <f aca="false">IF(L169=Reference!$A$28, Reference!$C$28, IF(L169=Reference!$A$27, Reference!$C$27, IF(L169=Reference!$A$26, Reference!$C$26, IF(L169=Reference!$A$25, Reference!$C$25, 0))))</f>
        <v>0</v>
      </c>
      <c r="AB169" s="16" t="n">
        <f aca="false">IF(N169=Reference!$A$36, Reference!$C$36, IF(N169=Reference!$A$35, Reference!$C$35, IF(N169=Reference!$A$34, Reference!$C$34, IF(N169=Reference!$A$33, Reference!$C$33, 0))))</f>
        <v>0</v>
      </c>
      <c r="AC169" s="16" t="n">
        <f aca="false">(Reference!$B$2*Y169 + Reference!$B$3*AA169 + Reference!$B$4*Z169 + Reference!$B$5 * AB169)/4</f>
        <v>0</v>
      </c>
      <c r="AD169" s="16" t="n">
        <f aca="false">IF(Q169=Reference!$C$41, Reference!$D$41, IF(Q169=Reference!$C$42, Reference!$D$42, IF(Q169=Reference!$C$43, Reference!$D$43, IF(Q169=Reference!$C$44, Reference!$D$44, 0))))</f>
        <v>0</v>
      </c>
      <c r="AE169" s="16" t="n">
        <f aca="false">1 + (AC169 * AD169)</f>
        <v>1</v>
      </c>
    </row>
    <row r="170" customFormat="false" ht="12.75" hidden="false" customHeight="true" outlineLevel="0" collapsed="false">
      <c r="A170" s="24"/>
      <c r="B170" s="15"/>
      <c r="C170" s="15"/>
      <c r="D170" s="25"/>
      <c r="E170" s="25"/>
      <c r="F170" s="15"/>
      <c r="G170" s="15"/>
      <c r="H170" s="15"/>
      <c r="I170" s="15"/>
      <c r="J170" s="15"/>
      <c r="K170" s="15"/>
      <c r="L170" s="15"/>
      <c r="M170" s="15"/>
      <c r="N170" s="15"/>
      <c r="O170" s="15"/>
      <c r="P170" s="22" t="str">
        <f aca="false">IF(AC170&gt;=Reference!$H$2, Reference!$G$2, IF(AC170&gt;=Reference!$H$3, Reference!$G$3, IF(AC170&gt;=Reference!$H$4, Reference!$G$4, IF(AC170&gt;=Reference!$H$5, Reference!$G$5, ""))))</f>
        <v/>
      </c>
      <c r="Q170" s="22" t="str">
        <f aca="false">IF(F170="Physical", "Very Low", IF(F170="Local", "Low", IF(F170="Adjacent", "Medium", IF(F170="Network", "High", ""))))</f>
        <v/>
      </c>
      <c r="R170" s="22" t="str">
        <f aca="false">IF(AE170&gt;=Reference!$D$2, Reference!$G$2, IF(AE170&gt;=Reference!$D$3, Reference!$E$3, IF(AE170&gt;=Reference!$D$4, Reference!$E$4, IF(AE170&gt;=Reference!$D$5, Reference!$E$5, ""))))</f>
        <v>Low</v>
      </c>
      <c r="S170" s="27"/>
      <c r="T170" s="28"/>
      <c r="U170" s="15"/>
      <c r="V170" s="15"/>
      <c r="W170" s="15"/>
      <c r="Y170" s="16" t="n">
        <f aca="false">IF(H170=Reference!$A$12, Reference!$C$12, IF(H170=Reference!$A$11, Reference!$C$11, IF(H170=Reference!$A$10, Reference!$C$10, IF(H170=Reference!$A$9, Reference!$C$9, 0))))</f>
        <v>0</v>
      </c>
      <c r="Z170" s="16" t="n">
        <f aca="false">IF(J170=Reference!$A$20, Reference!$C$20, IF(J170=Reference!$A$19, Reference!$C$19, IF(J170=Reference!$A$18, Reference!$C$18, IF(J170=Reference!$A$17, Reference!$C$17, 0))))</f>
        <v>0</v>
      </c>
      <c r="AA170" s="16" t="n">
        <f aca="false">IF(L170=Reference!$A$28, Reference!$C$28, IF(L170=Reference!$A$27, Reference!$C$27, IF(L170=Reference!$A$26, Reference!$C$26, IF(L170=Reference!$A$25, Reference!$C$25, 0))))</f>
        <v>0</v>
      </c>
      <c r="AB170" s="16" t="n">
        <f aca="false">IF(N170=Reference!$A$36, Reference!$C$36, IF(N170=Reference!$A$35, Reference!$C$35, IF(N170=Reference!$A$34, Reference!$C$34, IF(N170=Reference!$A$33, Reference!$C$33, 0))))</f>
        <v>0</v>
      </c>
      <c r="AC170" s="16" t="n">
        <f aca="false">(Reference!$B$2*Y170 + Reference!$B$3*AA170 + Reference!$B$4*Z170 + Reference!$B$5 * AB170)/4</f>
        <v>0</v>
      </c>
      <c r="AD170" s="16" t="n">
        <f aca="false">IF(Q170=Reference!$C$41, Reference!$D$41, IF(Q170=Reference!$C$42, Reference!$D$42, IF(Q170=Reference!$C$43, Reference!$D$43, IF(Q170=Reference!$C$44, Reference!$D$44, 0))))</f>
        <v>0</v>
      </c>
      <c r="AE170" s="16" t="n">
        <f aca="false">1 + (AC170 * AD170)</f>
        <v>1</v>
      </c>
    </row>
    <row r="171" customFormat="false" ht="12.75" hidden="false" customHeight="true" outlineLevel="0" collapsed="false">
      <c r="A171" s="24"/>
      <c r="B171" s="15"/>
      <c r="C171" s="15"/>
      <c r="D171" s="25"/>
      <c r="E171" s="25"/>
      <c r="F171" s="15"/>
      <c r="G171" s="15"/>
      <c r="H171" s="15"/>
      <c r="I171" s="15"/>
      <c r="J171" s="15"/>
      <c r="K171" s="15"/>
      <c r="L171" s="15"/>
      <c r="M171" s="15"/>
      <c r="N171" s="15"/>
      <c r="O171" s="15"/>
      <c r="P171" s="22" t="str">
        <f aca="false">IF(AC171&gt;=Reference!$H$2, Reference!$G$2, IF(AC171&gt;=Reference!$H$3, Reference!$G$3, IF(AC171&gt;=Reference!$H$4, Reference!$G$4, IF(AC171&gt;=Reference!$H$5, Reference!$G$5, ""))))</f>
        <v/>
      </c>
      <c r="Q171" s="22" t="str">
        <f aca="false">IF(F171="Physical", "Very Low", IF(F171="Local", "Low", IF(F171="Adjacent", "Medium", IF(F171="Network", "High", ""))))</f>
        <v/>
      </c>
      <c r="R171" s="22" t="str">
        <f aca="false">IF(AE171&gt;=Reference!$D$2, Reference!$G$2, IF(AE171&gt;=Reference!$D$3, Reference!$E$3, IF(AE171&gt;=Reference!$D$4, Reference!$E$4, IF(AE171&gt;=Reference!$D$5, Reference!$E$5, ""))))</f>
        <v>Low</v>
      </c>
      <c r="S171" s="27"/>
      <c r="T171" s="28"/>
      <c r="U171" s="15"/>
      <c r="V171" s="15"/>
      <c r="W171" s="15"/>
      <c r="Y171" s="16" t="n">
        <f aca="false">IF(H171=Reference!$A$12, Reference!$C$12, IF(H171=Reference!$A$11, Reference!$C$11, IF(H171=Reference!$A$10, Reference!$C$10, IF(H171=Reference!$A$9, Reference!$C$9, 0))))</f>
        <v>0</v>
      </c>
      <c r="Z171" s="16" t="n">
        <f aca="false">IF(J171=Reference!$A$20, Reference!$C$20, IF(J171=Reference!$A$19, Reference!$C$19, IF(J171=Reference!$A$18, Reference!$C$18, IF(J171=Reference!$A$17, Reference!$C$17, 0))))</f>
        <v>0</v>
      </c>
      <c r="AA171" s="16" t="n">
        <f aca="false">IF(L171=Reference!$A$28, Reference!$C$28, IF(L171=Reference!$A$27, Reference!$C$27, IF(L171=Reference!$A$26, Reference!$C$26, IF(L171=Reference!$A$25, Reference!$C$25, 0))))</f>
        <v>0</v>
      </c>
      <c r="AB171" s="16" t="n">
        <f aca="false">IF(N171=Reference!$A$36, Reference!$C$36, IF(N171=Reference!$A$35, Reference!$C$35, IF(N171=Reference!$A$34, Reference!$C$34, IF(N171=Reference!$A$33, Reference!$C$33, 0))))</f>
        <v>0</v>
      </c>
      <c r="AC171" s="16" t="n">
        <f aca="false">(Reference!$B$2*Y171 + Reference!$B$3*AA171 + Reference!$B$4*Z171 + Reference!$B$5 * AB171)/4</f>
        <v>0</v>
      </c>
      <c r="AD171" s="16" t="n">
        <f aca="false">IF(Q171=Reference!$C$41, Reference!$D$41, IF(Q171=Reference!$C$42, Reference!$D$42, IF(Q171=Reference!$C$43, Reference!$D$43, IF(Q171=Reference!$C$44, Reference!$D$44, 0))))</f>
        <v>0</v>
      </c>
      <c r="AE171" s="16" t="n">
        <f aca="false">1 + (AC171 * AD171)</f>
        <v>1</v>
      </c>
    </row>
    <row r="172" customFormat="false" ht="12.75" hidden="false" customHeight="true" outlineLevel="0" collapsed="false">
      <c r="A172" s="24"/>
      <c r="B172" s="15"/>
      <c r="C172" s="15"/>
      <c r="D172" s="25"/>
      <c r="E172" s="25"/>
      <c r="F172" s="15"/>
      <c r="G172" s="15"/>
      <c r="H172" s="15"/>
      <c r="I172" s="15"/>
      <c r="J172" s="15"/>
      <c r="K172" s="26"/>
      <c r="L172" s="15"/>
      <c r="M172" s="15"/>
      <c r="N172" s="15"/>
      <c r="O172" s="15"/>
      <c r="P172" s="22" t="str">
        <f aca="false">IF(AC172&gt;=Reference!$H$2, Reference!$G$2, IF(AC172&gt;=Reference!$H$3, Reference!$G$3, IF(AC172&gt;=Reference!$H$4, Reference!$G$4, IF(AC172&gt;=Reference!$H$5, Reference!$G$5, ""))))</f>
        <v/>
      </c>
      <c r="Q172" s="22" t="str">
        <f aca="false">IF(F172="Physical", "Very Low", IF(F172="Local", "Low", IF(F172="Adjacent", "Medium", IF(F172="Network", "High", ""))))</f>
        <v/>
      </c>
      <c r="R172" s="22" t="str">
        <f aca="false">IF(AE172&gt;=Reference!$D$2, Reference!$G$2, IF(AE172&gt;=Reference!$D$3, Reference!$E$3, IF(AE172&gt;=Reference!$D$4, Reference!$E$4, IF(AE172&gt;=Reference!$D$5, Reference!$E$5, ""))))</f>
        <v>Low</v>
      </c>
      <c r="S172" s="27"/>
      <c r="T172" s="28"/>
      <c r="U172" s="15"/>
      <c r="V172" s="15"/>
      <c r="W172" s="15"/>
      <c r="Y172" s="16" t="n">
        <f aca="false">IF(H172=Reference!$A$12, Reference!$C$12, IF(H172=Reference!$A$11, Reference!$C$11, IF(H172=Reference!$A$10, Reference!$C$10, IF(H172=Reference!$A$9, Reference!$C$9, 0))))</f>
        <v>0</v>
      </c>
      <c r="Z172" s="16" t="n">
        <f aca="false">IF(J172=Reference!$A$20, Reference!$C$20, IF(J172=Reference!$A$19, Reference!$C$19, IF(J172=Reference!$A$18, Reference!$C$18, IF(J172=Reference!$A$17, Reference!$C$17, 0))))</f>
        <v>0</v>
      </c>
      <c r="AA172" s="16" t="n">
        <f aca="false">IF(L172=Reference!$A$28, Reference!$C$28, IF(L172=Reference!$A$27, Reference!$C$27, IF(L172=Reference!$A$26, Reference!$C$26, IF(L172=Reference!$A$25, Reference!$C$25, 0))))</f>
        <v>0</v>
      </c>
      <c r="AB172" s="16" t="n">
        <f aca="false">IF(N172=Reference!$A$36, Reference!$C$36, IF(N172=Reference!$A$35, Reference!$C$35, IF(N172=Reference!$A$34, Reference!$C$34, IF(N172=Reference!$A$33, Reference!$C$33, 0))))</f>
        <v>0</v>
      </c>
      <c r="AC172" s="16" t="n">
        <f aca="false">(Reference!$B$2*Y172 + Reference!$B$3*AA172 + Reference!$B$4*Z172 + Reference!$B$5 * AB172)/4</f>
        <v>0</v>
      </c>
      <c r="AD172" s="16" t="n">
        <f aca="false">IF(Q172=Reference!$C$41, Reference!$D$41, IF(Q172=Reference!$C$42, Reference!$D$42, IF(Q172=Reference!$C$43, Reference!$D$43, IF(Q172=Reference!$C$44, Reference!$D$44, 0))))</f>
        <v>0</v>
      </c>
      <c r="AE172" s="16" t="n">
        <f aca="false">1 + (AC172 * AD172)</f>
        <v>1</v>
      </c>
    </row>
    <row r="173" customFormat="false" ht="12.75" hidden="false" customHeight="true" outlineLevel="0" collapsed="false">
      <c r="A173" s="24"/>
      <c r="B173" s="15"/>
      <c r="C173" s="15"/>
      <c r="D173" s="25"/>
      <c r="E173" s="25"/>
      <c r="F173" s="15"/>
      <c r="G173" s="15"/>
      <c r="H173" s="15"/>
      <c r="I173" s="15"/>
      <c r="J173" s="15"/>
      <c r="K173" s="15"/>
      <c r="L173" s="15"/>
      <c r="M173" s="15"/>
      <c r="N173" s="15"/>
      <c r="O173" s="15"/>
      <c r="P173" s="22" t="str">
        <f aca="false">IF(AC173&gt;=Reference!$H$2, Reference!$G$2, IF(AC173&gt;=Reference!$H$3, Reference!$G$3, IF(AC173&gt;=Reference!$H$4, Reference!$G$4, IF(AC173&gt;=Reference!$H$5, Reference!$G$5, ""))))</f>
        <v/>
      </c>
      <c r="Q173" s="22" t="str">
        <f aca="false">IF(F173="Physical", "Very Low", IF(F173="Local", "Low", IF(F173="Adjacent", "Medium", IF(F173="Network", "High", ""))))</f>
        <v/>
      </c>
      <c r="R173" s="22" t="str">
        <f aca="false">IF(AE173&gt;=Reference!$D$2, Reference!$G$2, IF(AE173&gt;=Reference!$D$3, Reference!$E$3, IF(AE173&gt;=Reference!$D$4, Reference!$E$4, IF(AE173&gt;=Reference!$D$5, Reference!$E$5, ""))))</f>
        <v>Low</v>
      </c>
      <c r="S173" s="27"/>
      <c r="T173" s="28"/>
      <c r="U173" s="15"/>
      <c r="V173" s="15"/>
      <c r="W173" s="15"/>
      <c r="Y173" s="16" t="n">
        <f aca="false">IF(H173=Reference!$A$12, Reference!$C$12, IF(H173=Reference!$A$11, Reference!$C$11, IF(H173=Reference!$A$10, Reference!$C$10, IF(H173=Reference!$A$9, Reference!$C$9, 0))))</f>
        <v>0</v>
      </c>
      <c r="Z173" s="16" t="n">
        <f aca="false">IF(J173=Reference!$A$20, Reference!$C$20, IF(J173=Reference!$A$19, Reference!$C$19, IF(J173=Reference!$A$18, Reference!$C$18, IF(J173=Reference!$A$17, Reference!$C$17, 0))))</f>
        <v>0</v>
      </c>
      <c r="AA173" s="16" t="n">
        <f aca="false">IF(L173=Reference!$A$28, Reference!$C$28, IF(L173=Reference!$A$27, Reference!$C$27, IF(L173=Reference!$A$26, Reference!$C$26, IF(L173=Reference!$A$25, Reference!$C$25, 0))))</f>
        <v>0</v>
      </c>
      <c r="AB173" s="16" t="n">
        <f aca="false">IF(N173=Reference!$A$36, Reference!$C$36, IF(N173=Reference!$A$35, Reference!$C$35, IF(N173=Reference!$A$34, Reference!$C$34, IF(N173=Reference!$A$33, Reference!$C$33, 0))))</f>
        <v>0</v>
      </c>
      <c r="AC173" s="16" t="n">
        <f aca="false">(Reference!$B$2*Y173 + Reference!$B$3*AA173 + Reference!$B$4*Z173 + Reference!$B$5 * AB173)/4</f>
        <v>0</v>
      </c>
      <c r="AD173" s="16" t="n">
        <f aca="false">IF(Q173=Reference!$C$41, Reference!$D$41, IF(Q173=Reference!$C$42, Reference!$D$42, IF(Q173=Reference!$C$43, Reference!$D$43, IF(Q173=Reference!$C$44, Reference!$D$44, 0))))</f>
        <v>0</v>
      </c>
      <c r="AE173" s="16" t="n">
        <f aca="false">1 + (AC173 * AD173)</f>
        <v>1</v>
      </c>
    </row>
    <row r="174" customFormat="false" ht="12.75" hidden="false" customHeight="true" outlineLevel="0" collapsed="false">
      <c r="A174" s="24"/>
      <c r="B174" s="15"/>
      <c r="C174" s="15"/>
      <c r="D174" s="25"/>
      <c r="E174" s="25"/>
      <c r="F174" s="15"/>
      <c r="G174" s="15"/>
      <c r="H174" s="15"/>
      <c r="I174" s="15"/>
      <c r="J174" s="15"/>
      <c r="K174" s="15"/>
      <c r="L174" s="15"/>
      <c r="M174" s="15"/>
      <c r="N174" s="15"/>
      <c r="O174" s="15"/>
      <c r="P174" s="22" t="str">
        <f aca="false">IF(AC174&gt;=Reference!$H$2, Reference!$G$2, IF(AC174&gt;=Reference!$H$3, Reference!$G$3, IF(AC174&gt;=Reference!$H$4, Reference!$G$4, IF(AC174&gt;=Reference!$H$5, Reference!$G$5, ""))))</f>
        <v/>
      </c>
      <c r="Q174" s="22" t="str">
        <f aca="false">IF(F174="Physical", "Very Low", IF(F174="Local", "Low", IF(F174="Adjacent", "Medium", IF(F174="Network", "High", ""))))</f>
        <v/>
      </c>
      <c r="R174" s="22" t="str">
        <f aca="false">IF(AE174&gt;=Reference!$D$2, Reference!$G$2, IF(AE174&gt;=Reference!$D$3, Reference!$E$3, IF(AE174&gt;=Reference!$D$4, Reference!$E$4, IF(AE174&gt;=Reference!$D$5, Reference!$E$5, ""))))</f>
        <v>Low</v>
      </c>
      <c r="S174" s="27"/>
      <c r="T174" s="28"/>
      <c r="U174" s="15"/>
      <c r="V174" s="15"/>
      <c r="W174" s="15"/>
      <c r="Y174" s="16" t="n">
        <f aca="false">IF(H174=Reference!$A$12, Reference!$C$12, IF(H174=Reference!$A$11, Reference!$C$11, IF(H174=Reference!$A$10, Reference!$C$10, IF(H174=Reference!$A$9, Reference!$C$9, 0))))</f>
        <v>0</v>
      </c>
      <c r="Z174" s="16" t="n">
        <f aca="false">IF(J174=Reference!$A$20, Reference!$C$20, IF(J174=Reference!$A$19, Reference!$C$19, IF(J174=Reference!$A$18, Reference!$C$18, IF(J174=Reference!$A$17, Reference!$C$17, 0))))</f>
        <v>0</v>
      </c>
      <c r="AA174" s="16" t="n">
        <f aca="false">IF(L174=Reference!$A$28, Reference!$C$28, IF(L174=Reference!$A$27, Reference!$C$27, IF(L174=Reference!$A$26, Reference!$C$26, IF(L174=Reference!$A$25, Reference!$C$25, 0))))</f>
        <v>0</v>
      </c>
      <c r="AB174" s="16" t="n">
        <f aca="false">IF(N174=Reference!$A$36, Reference!$C$36, IF(N174=Reference!$A$35, Reference!$C$35, IF(N174=Reference!$A$34, Reference!$C$34, IF(N174=Reference!$A$33, Reference!$C$33, 0))))</f>
        <v>0</v>
      </c>
      <c r="AC174" s="16" t="n">
        <f aca="false">(Reference!$B$2*Y174 + Reference!$B$3*AA174 + Reference!$B$4*Z174 + Reference!$B$5 * AB174)/4</f>
        <v>0</v>
      </c>
      <c r="AD174" s="16" t="n">
        <f aca="false">IF(Q174=Reference!$C$41, Reference!$D$41, IF(Q174=Reference!$C$42, Reference!$D$42, IF(Q174=Reference!$C$43, Reference!$D$43, IF(Q174=Reference!$C$44, Reference!$D$44, 0))))</f>
        <v>0</v>
      </c>
      <c r="AE174" s="16" t="n">
        <f aca="false">1 + (AC174 * AD174)</f>
        <v>1</v>
      </c>
    </row>
    <row r="175" customFormat="false" ht="12.75" hidden="false" customHeight="true" outlineLevel="0" collapsed="false">
      <c r="A175" s="24"/>
      <c r="B175" s="15"/>
      <c r="C175" s="15"/>
      <c r="D175" s="25"/>
      <c r="E175" s="25"/>
      <c r="F175" s="15"/>
      <c r="G175" s="15"/>
      <c r="H175" s="15"/>
      <c r="I175" s="15"/>
      <c r="J175" s="15"/>
      <c r="K175" s="26"/>
      <c r="L175" s="15"/>
      <c r="M175" s="15"/>
      <c r="N175" s="15"/>
      <c r="O175" s="26"/>
      <c r="P175" s="22" t="str">
        <f aca="false">IF(AC175&gt;=Reference!$H$2, Reference!$G$2, IF(AC175&gt;=Reference!$H$3, Reference!$G$3, IF(AC175&gt;=Reference!$H$4, Reference!$G$4, IF(AC175&gt;=Reference!$H$5, Reference!$G$5, ""))))</f>
        <v/>
      </c>
      <c r="Q175" s="22" t="str">
        <f aca="false">IF(F175="Physical", "Very Low", IF(F175="Local", "Low", IF(F175="Adjacent", "Medium", IF(F175="Network", "High", ""))))</f>
        <v/>
      </c>
      <c r="R175" s="22" t="str">
        <f aca="false">IF(AE175&gt;=Reference!$D$2, Reference!$G$2, IF(AE175&gt;=Reference!$D$3, Reference!$E$3, IF(AE175&gt;=Reference!$D$4, Reference!$E$4, IF(AE175&gt;=Reference!$D$5, Reference!$E$5, ""))))</f>
        <v>Low</v>
      </c>
      <c r="S175" s="27"/>
      <c r="T175" s="28"/>
      <c r="U175" s="15"/>
      <c r="V175" s="15"/>
      <c r="W175" s="15"/>
      <c r="Y175" s="16" t="n">
        <f aca="false">IF(H175=Reference!$A$12, Reference!$C$12, IF(H175=Reference!$A$11, Reference!$C$11, IF(H175=Reference!$A$10, Reference!$C$10, IF(H175=Reference!$A$9, Reference!$C$9, 0))))</f>
        <v>0</v>
      </c>
      <c r="Z175" s="16" t="n">
        <f aca="false">IF(J175=Reference!$A$20, Reference!$C$20, IF(J175=Reference!$A$19, Reference!$C$19, IF(J175=Reference!$A$18, Reference!$C$18, IF(J175=Reference!$A$17, Reference!$C$17, 0))))</f>
        <v>0</v>
      </c>
      <c r="AA175" s="16" t="n">
        <f aca="false">IF(L175=Reference!$A$28, Reference!$C$28, IF(L175=Reference!$A$27, Reference!$C$27, IF(L175=Reference!$A$26, Reference!$C$26, IF(L175=Reference!$A$25, Reference!$C$25, 0))))</f>
        <v>0</v>
      </c>
      <c r="AB175" s="16" t="n">
        <f aca="false">IF(N175=Reference!$A$36, Reference!$C$36, IF(N175=Reference!$A$35, Reference!$C$35, IF(N175=Reference!$A$34, Reference!$C$34, IF(N175=Reference!$A$33, Reference!$C$33, 0))))</f>
        <v>0</v>
      </c>
      <c r="AC175" s="16" t="n">
        <f aca="false">(Reference!$B$2*Y175 + Reference!$B$3*AA175 + Reference!$B$4*Z175 + Reference!$B$5 * AB175)/4</f>
        <v>0</v>
      </c>
      <c r="AD175" s="16" t="n">
        <f aca="false">IF(Q175=Reference!$C$41, Reference!$D$41, IF(Q175=Reference!$C$42, Reference!$D$42, IF(Q175=Reference!$C$43, Reference!$D$43, IF(Q175=Reference!$C$44, Reference!$D$44, 0))))</f>
        <v>0</v>
      </c>
      <c r="AE175" s="16" t="n">
        <f aca="false">1 + (AC175 * AD175)</f>
        <v>1</v>
      </c>
    </row>
    <row r="176" customFormat="false" ht="12.75" hidden="false" customHeight="true" outlineLevel="0" collapsed="false">
      <c r="A176" s="24"/>
      <c r="B176" s="15"/>
      <c r="C176" s="15"/>
      <c r="D176" s="25"/>
      <c r="E176" s="25"/>
      <c r="F176" s="15"/>
      <c r="G176" s="15"/>
      <c r="H176" s="15"/>
      <c r="I176" s="15"/>
      <c r="J176" s="15"/>
      <c r="K176" s="15"/>
      <c r="L176" s="15"/>
      <c r="M176" s="15"/>
      <c r="N176" s="15"/>
      <c r="O176" s="15"/>
      <c r="P176" s="22" t="str">
        <f aca="false">IF(AC176&gt;=Reference!$H$2, Reference!$G$2, IF(AC176&gt;=Reference!$H$3, Reference!$G$3, IF(AC176&gt;=Reference!$H$4, Reference!$G$4, IF(AC176&gt;=Reference!$H$5, Reference!$G$5, ""))))</f>
        <v/>
      </c>
      <c r="Q176" s="22" t="str">
        <f aca="false">IF(F176="Physical", "Very Low", IF(F176="Local", "Low", IF(F176="Adjacent", "Medium", IF(F176="Network", "High", ""))))</f>
        <v/>
      </c>
      <c r="R176" s="22" t="str">
        <f aca="false">IF(AE176&gt;=Reference!$D$2, Reference!$G$2, IF(AE176&gt;=Reference!$D$3, Reference!$E$3, IF(AE176&gt;=Reference!$D$4, Reference!$E$4, IF(AE176&gt;=Reference!$D$5, Reference!$E$5, ""))))</f>
        <v>Low</v>
      </c>
      <c r="S176" s="27"/>
      <c r="T176" s="28"/>
      <c r="U176" s="15"/>
      <c r="V176" s="15"/>
      <c r="W176" s="15"/>
      <c r="Y176" s="16" t="n">
        <f aca="false">IF(H176=Reference!$A$12, Reference!$C$12, IF(H176=Reference!$A$11, Reference!$C$11, IF(H176=Reference!$A$10, Reference!$C$10, IF(H176=Reference!$A$9, Reference!$C$9, 0))))</f>
        <v>0</v>
      </c>
      <c r="Z176" s="16" t="n">
        <f aca="false">IF(J176=Reference!$A$20, Reference!$C$20, IF(J176=Reference!$A$19, Reference!$C$19, IF(J176=Reference!$A$18, Reference!$C$18, IF(J176=Reference!$A$17, Reference!$C$17, 0))))</f>
        <v>0</v>
      </c>
      <c r="AA176" s="16" t="n">
        <f aca="false">IF(L176=Reference!$A$28, Reference!$C$28, IF(L176=Reference!$A$27, Reference!$C$27, IF(L176=Reference!$A$26, Reference!$C$26, IF(L176=Reference!$A$25, Reference!$C$25, 0))))</f>
        <v>0</v>
      </c>
      <c r="AB176" s="16" t="n">
        <f aca="false">IF(N176=Reference!$A$36, Reference!$C$36, IF(N176=Reference!$A$35, Reference!$C$35, IF(N176=Reference!$A$34, Reference!$C$34, IF(N176=Reference!$A$33, Reference!$C$33, 0))))</f>
        <v>0</v>
      </c>
      <c r="AC176" s="16" t="n">
        <f aca="false">(Reference!$B$2*Y176 + Reference!$B$3*AA176 + Reference!$B$4*Z176 + Reference!$B$5 * AB176)/4</f>
        <v>0</v>
      </c>
      <c r="AD176" s="16" t="n">
        <f aca="false">IF(Q176=Reference!$C$41, Reference!$D$41, IF(Q176=Reference!$C$42, Reference!$D$42, IF(Q176=Reference!$C$43, Reference!$D$43, IF(Q176=Reference!$C$44, Reference!$D$44, 0))))</f>
        <v>0</v>
      </c>
      <c r="AE176" s="16" t="n">
        <f aca="false">1 + (AC176 * AD176)</f>
        <v>1</v>
      </c>
    </row>
    <row r="177" customFormat="false" ht="12.75" hidden="false" customHeight="true" outlineLevel="0" collapsed="false">
      <c r="A177" s="24"/>
      <c r="B177" s="15"/>
      <c r="C177" s="15"/>
      <c r="D177" s="25"/>
      <c r="E177" s="25"/>
      <c r="F177" s="15"/>
      <c r="G177" s="15"/>
      <c r="H177" s="15"/>
      <c r="I177" s="15"/>
      <c r="J177" s="15"/>
      <c r="K177" s="15"/>
      <c r="L177" s="15"/>
      <c r="M177" s="15"/>
      <c r="N177" s="15"/>
      <c r="O177" s="15"/>
      <c r="P177" s="22" t="str">
        <f aca="false">IF(AC177&gt;=Reference!$H$2, Reference!$G$2, IF(AC177&gt;=Reference!$H$3, Reference!$G$3, IF(AC177&gt;=Reference!$H$4, Reference!$G$4, IF(AC177&gt;=Reference!$H$5, Reference!$G$5, ""))))</f>
        <v/>
      </c>
      <c r="Q177" s="22" t="str">
        <f aca="false">IF(F177="Physical", "Very Low", IF(F177="Local", "Low", IF(F177="Adjacent", "Medium", IF(F177="Network", "High", ""))))</f>
        <v/>
      </c>
      <c r="R177" s="22" t="str">
        <f aca="false">IF(AE177&gt;=Reference!$D$2, Reference!$G$2, IF(AE177&gt;=Reference!$D$3, Reference!$E$3, IF(AE177&gt;=Reference!$D$4, Reference!$E$4, IF(AE177&gt;=Reference!$D$5, Reference!$E$5, ""))))</f>
        <v>Low</v>
      </c>
      <c r="S177" s="27"/>
      <c r="T177" s="28"/>
      <c r="U177" s="15"/>
      <c r="V177" s="15"/>
      <c r="W177" s="15"/>
      <c r="Y177" s="16" t="n">
        <f aca="false">IF(H177=Reference!$A$12, Reference!$C$12, IF(H177=Reference!$A$11, Reference!$C$11, IF(H177=Reference!$A$10, Reference!$C$10, IF(H177=Reference!$A$9, Reference!$C$9, 0))))</f>
        <v>0</v>
      </c>
      <c r="Z177" s="16" t="n">
        <f aca="false">IF(J177=Reference!$A$20, Reference!$C$20, IF(J177=Reference!$A$19, Reference!$C$19, IF(J177=Reference!$A$18, Reference!$C$18, IF(J177=Reference!$A$17, Reference!$C$17, 0))))</f>
        <v>0</v>
      </c>
      <c r="AA177" s="16" t="n">
        <f aca="false">IF(L177=Reference!$A$28, Reference!$C$28, IF(L177=Reference!$A$27, Reference!$C$27, IF(L177=Reference!$A$26, Reference!$C$26, IF(L177=Reference!$A$25, Reference!$C$25, 0))))</f>
        <v>0</v>
      </c>
      <c r="AB177" s="16" t="n">
        <f aca="false">IF(N177=Reference!$A$36, Reference!$C$36, IF(N177=Reference!$A$35, Reference!$C$35, IF(N177=Reference!$A$34, Reference!$C$34, IF(N177=Reference!$A$33, Reference!$C$33, 0))))</f>
        <v>0</v>
      </c>
      <c r="AC177" s="16" t="n">
        <f aca="false">(Reference!$B$2*Y177 + Reference!$B$3*AA177 + Reference!$B$4*Z177 + Reference!$B$5 * AB177)/4</f>
        <v>0</v>
      </c>
      <c r="AD177" s="16" t="n">
        <f aca="false">IF(Q177=Reference!$C$41, Reference!$D$41, IF(Q177=Reference!$C$42, Reference!$D$42, IF(Q177=Reference!$C$43, Reference!$D$43, IF(Q177=Reference!$C$44, Reference!$D$44, 0))))</f>
        <v>0</v>
      </c>
      <c r="AE177" s="16" t="n">
        <f aca="false">1 + (AC177 * AD177)</f>
        <v>1</v>
      </c>
    </row>
    <row r="178" customFormat="false" ht="12.75" hidden="false" customHeight="true" outlineLevel="0" collapsed="false">
      <c r="A178" s="24"/>
      <c r="B178" s="15"/>
      <c r="C178" s="15"/>
      <c r="D178" s="25"/>
      <c r="E178" s="25"/>
      <c r="F178" s="15"/>
      <c r="G178" s="15"/>
      <c r="H178" s="15"/>
      <c r="I178" s="15"/>
      <c r="J178" s="15"/>
      <c r="K178" s="26"/>
      <c r="L178" s="15"/>
      <c r="M178" s="15"/>
      <c r="N178" s="15"/>
      <c r="O178" s="15"/>
      <c r="P178" s="22" t="str">
        <f aca="false">IF(AC178&gt;=Reference!$H$2, Reference!$G$2, IF(AC178&gt;=Reference!$H$3, Reference!$G$3, IF(AC178&gt;=Reference!$H$4, Reference!$G$4, IF(AC178&gt;=Reference!$H$5, Reference!$G$5, ""))))</f>
        <v/>
      </c>
      <c r="Q178" s="22" t="str">
        <f aca="false">IF(F178="Physical", "Very Low", IF(F178="Local", "Low", IF(F178="Adjacent", "Medium", IF(F178="Network", "High", ""))))</f>
        <v/>
      </c>
      <c r="R178" s="22" t="str">
        <f aca="false">IF(AE178&gt;=Reference!$D$2, Reference!$G$2, IF(AE178&gt;=Reference!$D$3, Reference!$E$3, IF(AE178&gt;=Reference!$D$4, Reference!$E$4, IF(AE178&gt;=Reference!$D$5, Reference!$E$5, ""))))</f>
        <v>Low</v>
      </c>
      <c r="S178" s="27"/>
      <c r="T178" s="28"/>
      <c r="U178" s="15"/>
      <c r="V178" s="15"/>
      <c r="W178" s="15"/>
      <c r="Y178" s="16" t="n">
        <f aca="false">IF(H178=Reference!$A$12, Reference!$C$12, IF(H178=Reference!$A$11, Reference!$C$11, IF(H178=Reference!$A$10, Reference!$C$10, IF(H178=Reference!$A$9, Reference!$C$9, 0))))</f>
        <v>0</v>
      </c>
      <c r="Z178" s="16" t="n">
        <f aca="false">IF(J178=Reference!$A$20, Reference!$C$20, IF(J178=Reference!$A$19, Reference!$C$19, IF(J178=Reference!$A$18, Reference!$C$18, IF(J178=Reference!$A$17, Reference!$C$17, 0))))</f>
        <v>0</v>
      </c>
      <c r="AA178" s="16" t="n">
        <f aca="false">IF(L178=Reference!$A$28, Reference!$C$28, IF(L178=Reference!$A$27, Reference!$C$27, IF(L178=Reference!$A$26, Reference!$C$26, IF(L178=Reference!$A$25, Reference!$C$25, 0))))</f>
        <v>0</v>
      </c>
      <c r="AB178" s="16" t="n">
        <f aca="false">IF(N178=Reference!$A$36, Reference!$C$36, IF(N178=Reference!$A$35, Reference!$C$35, IF(N178=Reference!$A$34, Reference!$C$34, IF(N178=Reference!$A$33, Reference!$C$33, 0))))</f>
        <v>0</v>
      </c>
      <c r="AC178" s="16" t="n">
        <f aca="false">(Reference!$B$2*Y178 + Reference!$B$3*AA178 + Reference!$B$4*Z178 + Reference!$B$5 * AB178)/4</f>
        <v>0</v>
      </c>
      <c r="AD178" s="16" t="n">
        <f aca="false">IF(Q178=Reference!$C$41, Reference!$D$41, IF(Q178=Reference!$C$42, Reference!$D$42, IF(Q178=Reference!$C$43, Reference!$D$43, IF(Q178=Reference!$C$44, Reference!$D$44, 0))))</f>
        <v>0</v>
      </c>
      <c r="AE178" s="16" t="n">
        <f aca="false">1 + (AC178 * AD178)</f>
        <v>1</v>
      </c>
    </row>
    <row r="179" customFormat="false" ht="12.75" hidden="false" customHeight="true" outlineLevel="0" collapsed="false">
      <c r="A179" s="24"/>
      <c r="B179" s="15"/>
      <c r="C179" s="15"/>
      <c r="D179" s="25"/>
      <c r="E179" s="25"/>
      <c r="F179" s="15"/>
      <c r="G179" s="15"/>
      <c r="H179" s="15"/>
      <c r="I179" s="15"/>
      <c r="J179" s="15"/>
      <c r="K179" s="15"/>
      <c r="L179" s="15"/>
      <c r="M179" s="15"/>
      <c r="N179" s="15"/>
      <c r="O179" s="15"/>
      <c r="P179" s="22" t="str">
        <f aca="false">IF(AC179&gt;=Reference!$H$2, Reference!$G$2, IF(AC179&gt;=Reference!$H$3, Reference!$G$3, IF(AC179&gt;=Reference!$H$4, Reference!$G$4, IF(AC179&gt;=Reference!$H$5, Reference!$G$5, ""))))</f>
        <v/>
      </c>
      <c r="Q179" s="22" t="str">
        <f aca="false">IF(F179="Physical", "Very Low", IF(F179="Local", "Low", IF(F179="Adjacent", "Medium", IF(F179="Network", "High", ""))))</f>
        <v/>
      </c>
      <c r="R179" s="22" t="str">
        <f aca="false">IF(AE179&gt;=Reference!$D$2, Reference!$G$2, IF(AE179&gt;=Reference!$D$3, Reference!$E$3, IF(AE179&gt;=Reference!$D$4, Reference!$E$4, IF(AE179&gt;=Reference!$D$5, Reference!$E$5, ""))))</f>
        <v>Low</v>
      </c>
      <c r="S179" s="27"/>
      <c r="T179" s="15"/>
      <c r="U179" s="15"/>
      <c r="V179" s="15"/>
      <c r="W179" s="15"/>
      <c r="Y179" s="16" t="n">
        <f aca="false">IF(H179=Reference!$A$12, Reference!$C$12, IF(H179=Reference!$A$11, Reference!$C$11, IF(H179=Reference!$A$10, Reference!$C$10, IF(H179=Reference!$A$9, Reference!$C$9, 0))))</f>
        <v>0</v>
      </c>
      <c r="Z179" s="16" t="n">
        <f aca="false">IF(J179=Reference!$A$20, Reference!$C$20, IF(J179=Reference!$A$19, Reference!$C$19, IF(J179=Reference!$A$18, Reference!$C$18, IF(J179=Reference!$A$17, Reference!$C$17, 0))))</f>
        <v>0</v>
      </c>
      <c r="AA179" s="16" t="n">
        <f aca="false">IF(L179=Reference!$A$28, Reference!$C$28, IF(L179=Reference!$A$27, Reference!$C$27, IF(L179=Reference!$A$26, Reference!$C$26, IF(L179=Reference!$A$25, Reference!$C$25, 0))))</f>
        <v>0</v>
      </c>
      <c r="AB179" s="16" t="n">
        <f aca="false">IF(N179=Reference!$A$36, Reference!$C$36, IF(N179=Reference!$A$35, Reference!$C$35, IF(N179=Reference!$A$34, Reference!$C$34, IF(N179=Reference!$A$33, Reference!$C$33, 0))))</f>
        <v>0</v>
      </c>
      <c r="AC179" s="16" t="n">
        <f aca="false">(Reference!$B$2*Y179 + Reference!$B$3*AA179 + Reference!$B$4*Z179 + Reference!$B$5 * AB179)/4</f>
        <v>0</v>
      </c>
      <c r="AD179" s="16" t="n">
        <f aca="false">IF(Q179=Reference!$C$41, Reference!$D$41, IF(Q179=Reference!$C$42, Reference!$D$42, IF(Q179=Reference!$C$43, Reference!$D$43, IF(Q179=Reference!$C$44, Reference!$D$44, 0))))</f>
        <v>0</v>
      </c>
      <c r="AE179" s="16" t="n">
        <f aca="false">1 + (AC179 * AD179)</f>
        <v>1</v>
      </c>
    </row>
    <row r="180" customFormat="false" ht="12.75" hidden="false" customHeight="true" outlineLevel="0" collapsed="false">
      <c r="A180" s="24"/>
      <c r="B180" s="15"/>
      <c r="C180" s="15"/>
      <c r="D180" s="31"/>
      <c r="E180" s="25"/>
      <c r="F180" s="15"/>
      <c r="G180" s="15"/>
      <c r="H180" s="15"/>
      <c r="I180" s="39"/>
      <c r="J180" s="15"/>
      <c r="K180" s="26"/>
      <c r="L180" s="15"/>
      <c r="M180" s="15"/>
      <c r="N180" s="15"/>
      <c r="O180" s="33"/>
      <c r="P180" s="22" t="str">
        <f aca="false">IF(AC180&gt;=Reference!$H$2, Reference!$G$2, IF(AC180&gt;=Reference!$H$3, Reference!$G$3, IF(AC180&gt;=Reference!$H$4, Reference!$G$4, IF(AC180&gt;=Reference!$H$5, Reference!$G$5, ""))))</f>
        <v/>
      </c>
      <c r="Q180" s="22" t="str">
        <f aca="false">IF(F180="Physical", "Very Low", IF(F180="Local", "Low", IF(F180="Adjacent", "Medium", IF(F180="Network", "High", ""))))</f>
        <v/>
      </c>
      <c r="R180" s="22" t="str">
        <f aca="false">IF(AE180&gt;=Reference!$D$2, Reference!$G$2, IF(AE180&gt;=Reference!$D$3, Reference!$E$3, IF(AE180&gt;=Reference!$D$4, Reference!$E$4, IF(AE180&gt;=Reference!$D$5, Reference!$E$5, ""))))</f>
        <v>Low</v>
      </c>
      <c r="S180" s="27"/>
      <c r="T180" s="28"/>
      <c r="U180" s="15"/>
      <c r="V180" s="15"/>
      <c r="W180" s="15"/>
      <c r="Y180" s="16" t="n">
        <f aca="false">IF(H180=Reference!$A$12, Reference!$C$12, IF(H180=Reference!$A$11, Reference!$C$11, IF(H180=Reference!$A$10, Reference!$C$10, IF(H180=Reference!$A$9, Reference!$C$9, 0))))</f>
        <v>0</v>
      </c>
      <c r="Z180" s="16" t="n">
        <f aca="false">IF(J180=Reference!$A$20, Reference!$C$20, IF(J180=Reference!$A$19, Reference!$C$19, IF(J180=Reference!$A$18, Reference!$C$18, IF(J180=Reference!$A$17, Reference!$C$17, 0))))</f>
        <v>0</v>
      </c>
      <c r="AA180" s="16" t="n">
        <f aca="false">IF(L180=Reference!$A$28, Reference!$C$28, IF(L180=Reference!$A$27, Reference!$C$27, IF(L180=Reference!$A$26, Reference!$C$26, IF(L180=Reference!$A$25, Reference!$C$25, 0))))</f>
        <v>0</v>
      </c>
      <c r="AB180" s="16" t="n">
        <f aca="false">IF(N180=Reference!$A$36, Reference!$C$36, IF(N180=Reference!$A$35, Reference!$C$35, IF(N180=Reference!$A$34, Reference!$C$34, IF(N180=Reference!$A$33, Reference!$C$33, 0))))</f>
        <v>0</v>
      </c>
      <c r="AC180" s="16" t="n">
        <f aca="false">(Reference!$B$2*Y180 + Reference!$B$3*AA180 + Reference!$B$4*Z180 + Reference!$B$5 * AB180)/4</f>
        <v>0</v>
      </c>
      <c r="AD180" s="16" t="n">
        <f aca="false">IF(Q180=Reference!$C$41, Reference!$D$41, IF(Q180=Reference!$C$42, Reference!$D$42, IF(Q180=Reference!$C$43, Reference!$D$43, IF(Q180=Reference!$C$44, Reference!$D$44, 0))))</f>
        <v>0</v>
      </c>
      <c r="AE180" s="16" t="n">
        <f aca="false">1 + (AC180 * AD180)</f>
        <v>1</v>
      </c>
    </row>
    <row r="181" customFormat="false" ht="12.75" hidden="false" customHeight="true" outlineLevel="0" collapsed="false">
      <c r="A181" s="24"/>
      <c r="B181" s="15"/>
      <c r="C181" s="15"/>
      <c r="D181" s="25"/>
      <c r="E181" s="25"/>
      <c r="F181" s="15"/>
      <c r="G181" s="15"/>
      <c r="H181" s="15"/>
      <c r="I181" s="15"/>
      <c r="J181" s="15"/>
      <c r="K181" s="15"/>
      <c r="L181" s="15"/>
      <c r="M181" s="15"/>
      <c r="N181" s="15"/>
      <c r="O181" s="15"/>
      <c r="P181" s="22" t="str">
        <f aca="false">IF(AC181&gt;=Reference!$H$2, Reference!$G$2, IF(AC181&gt;=Reference!$H$3, Reference!$G$3, IF(AC181&gt;=Reference!$H$4, Reference!$G$4, IF(AC181&gt;=Reference!$H$5, Reference!$G$5, ""))))</f>
        <v/>
      </c>
      <c r="Q181" s="22" t="str">
        <f aca="false">IF(F181="Physical", "Very Low", IF(F181="Local", "Low", IF(F181="Adjacent", "Medium", IF(F181="Network", "High", ""))))</f>
        <v/>
      </c>
      <c r="R181" s="22" t="str">
        <f aca="false">IF(AE181&gt;=Reference!$D$2, Reference!$G$2, IF(AE181&gt;=Reference!$D$3, Reference!$E$3, IF(AE181&gt;=Reference!$D$4, Reference!$E$4, IF(AE181&gt;=Reference!$D$5, Reference!$E$5, ""))))</f>
        <v>Low</v>
      </c>
      <c r="S181" s="27"/>
      <c r="T181" s="28"/>
      <c r="U181" s="15"/>
      <c r="V181" s="15"/>
      <c r="W181" s="15"/>
      <c r="Y181" s="16" t="n">
        <f aca="false">IF(H181=Reference!$A$12, Reference!$C$12, IF(H181=Reference!$A$11, Reference!$C$11, IF(H181=Reference!$A$10, Reference!$C$10, IF(H181=Reference!$A$9, Reference!$C$9, 0))))</f>
        <v>0</v>
      </c>
      <c r="Z181" s="16" t="n">
        <f aca="false">IF(J181=Reference!$A$20, Reference!$C$20, IF(J181=Reference!$A$19, Reference!$C$19, IF(J181=Reference!$A$18, Reference!$C$18, IF(J181=Reference!$A$17, Reference!$C$17, 0))))</f>
        <v>0</v>
      </c>
      <c r="AA181" s="16" t="n">
        <f aca="false">IF(L181=Reference!$A$28, Reference!$C$28, IF(L181=Reference!$A$27, Reference!$C$27, IF(L181=Reference!$A$26, Reference!$C$26, IF(L181=Reference!$A$25, Reference!$C$25, 0))))</f>
        <v>0</v>
      </c>
      <c r="AB181" s="16" t="n">
        <f aca="false">IF(N181=Reference!$A$36, Reference!$C$36, IF(N181=Reference!$A$35, Reference!$C$35, IF(N181=Reference!$A$34, Reference!$C$34, IF(N181=Reference!$A$33, Reference!$C$33, 0))))</f>
        <v>0</v>
      </c>
      <c r="AC181" s="16" t="n">
        <f aca="false">(Reference!$B$2*Y181 + Reference!$B$3*AA181 + Reference!$B$4*Z181 + Reference!$B$5 * AB181)/4</f>
        <v>0</v>
      </c>
      <c r="AD181" s="16" t="n">
        <f aca="false">IF(Q181=Reference!$C$41, Reference!$D$41, IF(Q181=Reference!$C$42, Reference!$D$42, IF(Q181=Reference!$C$43, Reference!$D$43, IF(Q181=Reference!$C$44, Reference!$D$44, 0))))</f>
        <v>0</v>
      </c>
      <c r="AE181" s="16" t="n">
        <f aca="false">1 + (AC181 * AD181)</f>
        <v>1</v>
      </c>
    </row>
    <row r="182" customFormat="false" ht="12.75" hidden="false" customHeight="true" outlineLevel="0" collapsed="false">
      <c r="A182" s="24"/>
      <c r="B182" s="15"/>
      <c r="C182" s="15"/>
      <c r="D182" s="25"/>
      <c r="E182" s="25"/>
      <c r="F182" s="15"/>
      <c r="G182" s="15"/>
      <c r="H182" s="15"/>
      <c r="I182" s="15"/>
      <c r="J182" s="15"/>
      <c r="K182" s="26"/>
      <c r="L182" s="15"/>
      <c r="M182" s="15"/>
      <c r="N182" s="15"/>
      <c r="O182" s="15"/>
      <c r="P182" s="22" t="str">
        <f aca="false">IF(AC182&gt;=Reference!$H$2, Reference!$G$2, IF(AC182&gt;=Reference!$H$3, Reference!$G$3, IF(AC182&gt;=Reference!$H$4, Reference!$G$4, IF(AC182&gt;=Reference!$H$5, Reference!$G$5, ""))))</f>
        <v/>
      </c>
      <c r="Q182" s="22" t="str">
        <f aca="false">IF(F182="Physical", "Very Low", IF(F182="Local", "Low", IF(F182="Adjacent", "Medium", IF(F182="Network", "High", ""))))</f>
        <v/>
      </c>
      <c r="R182" s="22" t="str">
        <f aca="false">IF(AE182&gt;=Reference!$D$2, Reference!$G$2, IF(AE182&gt;=Reference!$D$3, Reference!$E$3, IF(AE182&gt;=Reference!$D$4, Reference!$E$4, IF(AE182&gt;=Reference!$D$5, Reference!$E$5, ""))))</f>
        <v>Low</v>
      </c>
      <c r="S182" s="27"/>
      <c r="T182" s="28"/>
      <c r="U182" s="15"/>
      <c r="V182" s="15"/>
      <c r="W182" s="15"/>
      <c r="Y182" s="16" t="n">
        <f aca="false">IF(H182=Reference!$A$12, Reference!$C$12, IF(H182=Reference!$A$11, Reference!$C$11, IF(H182=Reference!$A$10, Reference!$C$10, IF(H182=Reference!$A$9, Reference!$C$9, 0))))</f>
        <v>0</v>
      </c>
      <c r="Z182" s="16" t="n">
        <f aca="false">IF(J182=Reference!$A$20, Reference!$C$20, IF(J182=Reference!$A$19, Reference!$C$19, IF(J182=Reference!$A$18, Reference!$C$18, IF(J182=Reference!$A$17, Reference!$C$17, 0))))</f>
        <v>0</v>
      </c>
      <c r="AA182" s="16" t="n">
        <f aca="false">IF(L182=Reference!$A$28, Reference!$C$28, IF(L182=Reference!$A$27, Reference!$C$27, IF(L182=Reference!$A$26, Reference!$C$26, IF(L182=Reference!$A$25, Reference!$C$25, 0))))</f>
        <v>0</v>
      </c>
      <c r="AB182" s="16" t="n">
        <f aca="false">IF(N182=Reference!$A$36, Reference!$C$36, IF(N182=Reference!$A$35, Reference!$C$35, IF(N182=Reference!$A$34, Reference!$C$34, IF(N182=Reference!$A$33, Reference!$C$33, 0))))</f>
        <v>0</v>
      </c>
      <c r="AC182" s="16" t="n">
        <f aca="false">(Reference!$B$2*Y182 + Reference!$B$3*AA182 + Reference!$B$4*Z182 + Reference!$B$5 * AB182)/4</f>
        <v>0</v>
      </c>
      <c r="AD182" s="16" t="n">
        <f aca="false">IF(Q182=Reference!$C$41, Reference!$D$41, IF(Q182=Reference!$C$42, Reference!$D$42, IF(Q182=Reference!$C$43, Reference!$D$43, IF(Q182=Reference!$C$44, Reference!$D$44, 0))))</f>
        <v>0</v>
      </c>
      <c r="AE182" s="16" t="n">
        <f aca="false">1 + (AC182 * AD182)</f>
        <v>1</v>
      </c>
    </row>
    <row r="183" customFormat="false" ht="12.75" hidden="false" customHeight="true" outlineLevel="0" collapsed="false">
      <c r="A183" s="24"/>
      <c r="B183" s="15"/>
      <c r="C183" s="15"/>
      <c r="D183" s="25"/>
      <c r="E183" s="25"/>
      <c r="F183" s="15"/>
      <c r="G183" s="15"/>
      <c r="H183" s="15"/>
      <c r="I183" s="15"/>
      <c r="J183" s="15"/>
      <c r="K183" s="15"/>
      <c r="L183" s="15"/>
      <c r="M183" s="15"/>
      <c r="N183" s="15"/>
      <c r="O183" s="15"/>
      <c r="P183" s="22" t="str">
        <f aca="false">IF(AC183&gt;=Reference!$H$2, Reference!$G$2, IF(AC183&gt;=Reference!$H$3, Reference!$G$3, IF(AC183&gt;=Reference!$H$4, Reference!$G$4, IF(AC183&gt;=Reference!$H$5, Reference!$G$5, ""))))</f>
        <v/>
      </c>
      <c r="Q183" s="22" t="str">
        <f aca="false">IF(F183="Physical", "Very Low", IF(F183="Local", "Low", IF(F183="Adjacent", "Medium", IF(F183="Network", "High", ""))))</f>
        <v/>
      </c>
      <c r="R183" s="22" t="str">
        <f aca="false">IF(AE183&gt;=Reference!$D$2, Reference!$G$2, IF(AE183&gt;=Reference!$D$3, Reference!$E$3, IF(AE183&gt;=Reference!$D$4, Reference!$E$4, IF(AE183&gt;=Reference!$D$5, Reference!$E$5, ""))))</f>
        <v>Low</v>
      </c>
      <c r="S183" s="27"/>
      <c r="T183" s="28"/>
      <c r="U183" s="15"/>
      <c r="V183" s="15"/>
      <c r="W183" s="15"/>
      <c r="Y183" s="16" t="n">
        <f aca="false">IF(H183=Reference!$A$12, Reference!$C$12, IF(H183=Reference!$A$11, Reference!$C$11, IF(H183=Reference!$A$10, Reference!$C$10, IF(H183=Reference!$A$9, Reference!$C$9, 0))))</f>
        <v>0</v>
      </c>
      <c r="Z183" s="16" t="n">
        <f aca="false">IF(J183=Reference!$A$20, Reference!$C$20, IF(J183=Reference!$A$19, Reference!$C$19, IF(J183=Reference!$A$18, Reference!$C$18, IF(J183=Reference!$A$17, Reference!$C$17, 0))))</f>
        <v>0</v>
      </c>
      <c r="AA183" s="16" t="n">
        <f aca="false">IF(L183=Reference!$A$28, Reference!$C$28, IF(L183=Reference!$A$27, Reference!$C$27, IF(L183=Reference!$A$26, Reference!$C$26, IF(L183=Reference!$A$25, Reference!$C$25, 0))))</f>
        <v>0</v>
      </c>
      <c r="AB183" s="16" t="n">
        <f aca="false">IF(N183=Reference!$A$36, Reference!$C$36, IF(N183=Reference!$A$35, Reference!$C$35, IF(N183=Reference!$A$34, Reference!$C$34, IF(N183=Reference!$A$33, Reference!$C$33, 0))))</f>
        <v>0</v>
      </c>
      <c r="AC183" s="16" t="n">
        <f aca="false">(Reference!$B$2*Y183 + Reference!$B$3*AA183 + Reference!$B$4*Z183 + Reference!$B$5 * AB183)/4</f>
        <v>0</v>
      </c>
      <c r="AD183" s="16" t="n">
        <f aca="false">IF(Q183=Reference!$C$41, Reference!$D$41, IF(Q183=Reference!$C$42, Reference!$D$42, IF(Q183=Reference!$C$43, Reference!$D$43, IF(Q183=Reference!$C$44, Reference!$D$44, 0))))</f>
        <v>0</v>
      </c>
      <c r="AE183" s="16" t="n">
        <f aca="false">1 + (AC183 * AD183)</f>
        <v>1</v>
      </c>
    </row>
    <row r="184" customFormat="false" ht="12.75" hidden="false" customHeight="true" outlineLevel="0" collapsed="false">
      <c r="A184" s="24"/>
      <c r="B184" s="15"/>
      <c r="C184" s="15"/>
      <c r="D184" s="25"/>
      <c r="E184" s="25"/>
      <c r="F184" s="15"/>
      <c r="G184" s="15"/>
      <c r="H184" s="15"/>
      <c r="I184" s="15"/>
      <c r="J184" s="15"/>
      <c r="K184" s="26"/>
      <c r="L184" s="15"/>
      <c r="M184" s="15"/>
      <c r="N184" s="15"/>
      <c r="O184" s="15"/>
      <c r="P184" s="22" t="str">
        <f aca="false">IF(AC184&gt;=Reference!$H$2, Reference!$G$2, IF(AC184&gt;=Reference!$H$3, Reference!$G$3, IF(AC184&gt;=Reference!$H$4, Reference!$G$4, IF(AC184&gt;=Reference!$H$5, Reference!$G$5, ""))))</f>
        <v/>
      </c>
      <c r="Q184" s="22" t="str">
        <f aca="false">IF(F184="Physical", "Very Low", IF(F184="Local", "Low", IF(F184="Adjacent", "Medium", IF(F184="Network", "High", ""))))</f>
        <v/>
      </c>
      <c r="R184" s="22" t="str">
        <f aca="false">IF(AE184&gt;=Reference!$D$2, Reference!$G$2, IF(AE184&gt;=Reference!$D$3, Reference!$E$3, IF(AE184&gt;=Reference!$D$4, Reference!$E$4, IF(AE184&gt;=Reference!$D$5, Reference!$E$5, ""))))</f>
        <v>Low</v>
      </c>
      <c r="S184" s="27"/>
      <c r="T184" s="28"/>
      <c r="U184" s="15"/>
      <c r="V184" s="40"/>
      <c r="W184" s="15"/>
      <c r="Y184" s="16" t="n">
        <f aca="false">IF(H184=Reference!$A$12, Reference!$C$12, IF(H184=Reference!$A$11, Reference!$C$11, IF(H184=Reference!$A$10, Reference!$C$10, IF(H184=Reference!$A$9, Reference!$C$9, 0))))</f>
        <v>0</v>
      </c>
      <c r="Z184" s="16" t="n">
        <f aca="false">IF(J184=Reference!$A$20, Reference!$C$20, IF(J184=Reference!$A$19, Reference!$C$19, IF(J184=Reference!$A$18, Reference!$C$18, IF(J184=Reference!$A$17, Reference!$C$17, 0))))</f>
        <v>0</v>
      </c>
      <c r="AA184" s="16" t="n">
        <f aca="false">IF(L184=Reference!$A$28, Reference!$C$28, IF(L184=Reference!$A$27, Reference!$C$27, IF(L184=Reference!$A$26, Reference!$C$26, IF(L184=Reference!$A$25, Reference!$C$25, 0))))</f>
        <v>0</v>
      </c>
      <c r="AB184" s="16" t="n">
        <f aca="false">IF(N184=Reference!$A$36, Reference!$C$36, IF(N184=Reference!$A$35, Reference!$C$35, IF(N184=Reference!$A$34, Reference!$C$34, IF(N184=Reference!$A$33, Reference!$C$33, 0))))</f>
        <v>0</v>
      </c>
      <c r="AC184" s="16" t="n">
        <f aca="false">(Reference!$B$2*Y184 + Reference!$B$3*AA184 + Reference!$B$4*Z184 + Reference!$B$5 * AB184)/4</f>
        <v>0</v>
      </c>
      <c r="AD184" s="16" t="n">
        <f aca="false">IF(Q184=Reference!$C$41, Reference!$D$41, IF(Q184=Reference!$C$42, Reference!$D$42, IF(Q184=Reference!$C$43, Reference!$D$43, IF(Q184=Reference!$C$44, Reference!$D$44, 0))))</f>
        <v>0</v>
      </c>
      <c r="AE184" s="16" t="n">
        <f aca="false">1 + (AC184 * AD184)</f>
        <v>1</v>
      </c>
    </row>
    <row r="185" customFormat="false" ht="12.75" hidden="false" customHeight="true" outlineLevel="0" collapsed="false">
      <c r="A185" s="24"/>
      <c r="B185" s="15"/>
      <c r="C185" s="15"/>
      <c r="D185" s="25"/>
      <c r="E185" s="25"/>
      <c r="F185" s="15"/>
      <c r="G185" s="15"/>
      <c r="H185" s="15"/>
      <c r="I185" s="15"/>
      <c r="J185" s="15"/>
      <c r="K185" s="15"/>
      <c r="L185" s="15"/>
      <c r="M185" s="15"/>
      <c r="N185" s="15"/>
      <c r="O185" s="15"/>
      <c r="P185" s="22" t="str">
        <f aca="false">IF(AC185&gt;=Reference!$H$2, Reference!$G$2, IF(AC185&gt;=Reference!$H$3, Reference!$G$3, IF(AC185&gt;=Reference!$H$4, Reference!$G$4, IF(AC185&gt;=Reference!$H$5, Reference!$G$5, ""))))</f>
        <v/>
      </c>
      <c r="Q185" s="22" t="str">
        <f aca="false">IF(F185="Physical", "Very Low", IF(F185="Local", "Low", IF(F185="Adjacent", "Medium", IF(F185="Network", "High", ""))))</f>
        <v/>
      </c>
      <c r="R185" s="22" t="str">
        <f aca="false">IF(AE185&gt;=Reference!$D$2, Reference!$G$2, IF(AE185&gt;=Reference!$D$3, Reference!$E$3, IF(AE185&gt;=Reference!$D$4, Reference!$E$4, IF(AE185&gt;=Reference!$D$5, Reference!$E$5, ""))))</f>
        <v>Low</v>
      </c>
      <c r="S185" s="27"/>
      <c r="T185" s="28"/>
      <c r="U185" s="15"/>
      <c r="V185" s="15"/>
      <c r="W185" s="15"/>
      <c r="Y185" s="16" t="n">
        <f aca="false">IF(H185=Reference!$A$12, Reference!$C$12, IF(H185=Reference!$A$11, Reference!$C$11, IF(H185=Reference!$A$10, Reference!$C$10, IF(H185=Reference!$A$9, Reference!$C$9, 0))))</f>
        <v>0</v>
      </c>
      <c r="Z185" s="16" t="n">
        <f aca="false">IF(J185=Reference!$A$20, Reference!$C$20, IF(J185=Reference!$A$19, Reference!$C$19, IF(J185=Reference!$A$18, Reference!$C$18, IF(J185=Reference!$A$17, Reference!$C$17, 0))))</f>
        <v>0</v>
      </c>
      <c r="AA185" s="16" t="n">
        <f aca="false">IF(L185=Reference!$A$28, Reference!$C$28, IF(L185=Reference!$A$27, Reference!$C$27, IF(L185=Reference!$A$26, Reference!$C$26, IF(L185=Reference!$A$25, Reference!$C$25, 0))))</f>
        <v>0</v>
      </c>
      <c r="AB185" s="16" t="n">
        <f aca="false">IF(N185=Reference!$A$36, Reference!$C$36, IF(N185=Reference!$A$35, Reference!$C$35, IF(N185=Reference!$A$34, Reference!$C$34, IF(N185=Reference!$A$33, Reference!$C$33, 0))))</f>
        <v>0</v>
      </c>
      <c r="AC185" s="16" t="n">
        <f aca="false">(Reference!$B$2*Y185 + Reference!$B$3*AA185 + Reference!$B$4*Z185 + Reference!$B$5 * AB185)/4</f>
        <v>0</v>
      </c>
      <c r="AD185" s="16" t="n">
        <f aca="false">IF(Q185=Reference!$C$41, Reference!$D$41, IF(Q185=Reference!$C$42, Reference!$D$42, IF(Q185=Reference!$C$43, Reference!$D$43, IF(Q185=Reference!$C$44, Reference!$D$44, 0))))</f>
        <v>0</v>
      </c>
      <c r="AE185" s="16" t="n">
        <f aca="false">1 + (AC185 * AD185)</f>
        <v>1</v>
      </c>
    </row>
    <row r="186" customFormat="false" ht="12.75" hidden="false" customHeight="true" outlineLevel="0" collapsed="false">
      <c r="A186" s="24"/>
      <c r="B186" s="15"/>
      <c r="C186" s="15"/>
      <c r="D186" s="25"/>
      <c r="E186" s="25"/>
      <c r="F186" s="15"/>
      <c r="G186" s="15"/>
      <c r="H186" s="15"/>
      <c r="I186" s="15"/>
      <c r="J186" s="15"/>
      <c r="K186" s="15"/>
      <c r="L186" s="15"/>
      <c r="M186" s="15"/>
      <c r="N186" s="15"/>
      <c r="O186" s="15"/>
      <c r="P186" s="22" t="str">
        <f aca="false">IF(AC186&gt;=Reference!$H$2, Reference!$G$2, IF(AC186&gt;=Reference!$H$3, Reference!$G$3, IF(AC186&gt;=Reference!$H$4, Reference!$G$4, IF(AC186&gt;=Reference!$H$5, Reference!$G$5, ""))))</f>
        <v/>
      </c>
      <c r="Q186" s="22" t="str">
        <f aca="false">IF(F186="Physical", "Very Low", IF(F186="Local", "Low", IF(F186="Adjacent", "Medium", IF(F186="Network", "High", ""))))</f>
        <v/>
      </c>
      <c r="R186" s="22" t="str">
        <f aca="false">IF(AE186&gt;=Reference!$D$2, Reference!$G$2, IF(AE186&gt;=Reference!$D$3, Reference!$E$3, IF(AE186&gt;=Reference!$D$4, Reference!$E$4, IF(AE186&gt;=Reference!$D$5, Reference!$E$5, ""))))</f>
        <v>Low</v>
      </c>
      <c r="S186" s="27"/>
      <c r="T186" s="28"/>
      <c r="U186" s="15"/>
      <c r="V186" s="15"/>
      <c r="W186" s="15"/>
      <c r="Y186" s="16" t="n">
        <f aca="false">IF(H186=Reference!$A$12, Reference!$C$12, IF(H186=Reference!$A$11, Reference!$C$11, IF(H186=Reference!$A$10, Reference!$C$10, IF(H186=Reference!$A$9, Reference!$C$9, 0))))</f>
        <v>0</v>
      </c>
      <c r="Z186" s="16" t="n">
        <f aca="false">IF(J186=Reference!$A$20, Reference!$C$20, IF(J186=Reference!$A$19, Reference!$C$19, IF(J186=Reference!$A$18, Reference!$C$18, IF(J186=Reference!$A$17, Reference!$C$17, 0))))</f>
        <v>0</v>
      </c>
      <c r="AA186" s="16" t="n">
        <f aca="false">IF(L186=Reference!$A$28, Reference!$C$28, IF(L186=Reference!$A$27, Reference!$C$27, IF(L186=Reference!$A$26, Reference!$C$26, IF(L186=Reference!$A$25, Reference!$C$25, 0))))</f>
        <v>0</v>
      </c>
      <c r="AB186" s="16" t="n">
        <f aca="false">IF(N186=Reference!$A$36, Reference!$C$36, IF(N186=Reference!$A$35, Reference!$C$35, IF(N186=Reference!$A$34, Reference!$C$34, IF(N186=Reference!$A$33, Reference!$C$33, 0))))</f>
        <v>0</v>
      </c>
      <c r="AC186" s="16" t="n">
        <f aca="false">(Reference!$B$2*Y186 + Reference!$B$3*AA186 + Reference!$B$4*Z186 + Reference!$B$5 * AB186)/4</f>
        <v>0</v>
      </c>
      <c r="AD186" s="16" t="n">
        <f aca="false">IF(Q186=Reference!$C$41, Reference!$D$41, IF(Q186=Reference!$C$42, Reference!$D$42, IF(Q186=Reference!$C$43, Reference!$D$43, IF(Q186=Reference!$C$44, Reference!$D$44, 0))))</f>
        <v>0</v>
      </c>
      <c r="AE186" s="16" t="n">
        <f aca="false">1 + (AC186 * AD186)</f>
        <v>1</v>
      </c>
    </row>
    <row r="187" customFormat="false" ht="12.75" hidden="false" customHeight="true" outlineLevel="0" collapsed="false">
      <c r="A187" s="24"/>
      <c r="B187" s="15"/>
      <c r="C187" s="15"/>
      <c r="D187" s="25"/>
      <c r="E187" s="25"/>
      <c r="F187" s="15"/>
      <c r="G187" s="15"/>
      <c r="H187" s="15"/>
      <c r="I187" s="15"/>
      <c r="J187" s="15"/>
      <c r="K187" s="26"/>
      <c r="L187" s="15"/>
      <c r="M187" s="15"/>
      <c r="N187" s="15"/>
      <c r="O187" s="15"/>
      <c r="P187" s="22" t="str">
        <f aca="false">IF(AC187&gt;=Reference!$H$2, Reference!$G$2, IF(AC187&gt;=Reference!$H$3, Reference!$G$3, IF(AC187&gt;=Reference!$H$4, Reference!$G$4, IF(AC187&gt;=Reference!$H$5, Reference!$G$5, ""))))</f>
        <v/>
      </c>
      <c r="Q187" s="22" t="str">
        <f aca="false">IF(F187="Physical", "Very Low", IF(F187="Local", "Low", IF(F187="Adjacent", "Medium", IF(F187="Network", "High", ""))))</f>
        <v/>
      </c>
      <c r="R187" s="22" t="str">
        <f aca="false">IF(AE187&gt;=Reference!$D$2, Reference!$G$2, IF(AE187&gt;=Reference!$D$3, Reference!$E$3, IF(AE187&gt;=Reference!$D$4, Reference!$E$4, IF(AE187&gt;=Reference!$D$5, Reference!$E$5, ""))))</f>
        <v>Low</v>
      </c>
      <c r="S187" s="27"/>
      <c r="T187" s="28"/>
      <c r="U187" s="15"/>
      <c r="V187" s="15"/>
      <c r="W187" s="15"/>
      <c r="Y187" s="16" t="n">
        <f aca="false">IF(H187=Reference!$A$12, Reference!$C$12, IF(H187=Reference!$A$11, Reference!$C$11, IF(H187=Reference!$A$10, Reference!$C$10, IF(H187=Reference!$A$9, Reference!$C$9, 0))))</f>
        <v>0</v>
      </c>
      <c r="Z187" s="16" t="n">
        <f aca="false">IF(J187=Reference!$A$20, Reference!$C$20, IF(J187=Reference!$A$19, Reference!$C$19, IF(J187=Reference!$A$18, Reference!$C$18, IF(J187=Reference!$A$17, Reference!$C$17, 0))))</f>
        <v>0</v>
      </c>
      <c r="AA187" s="16" t="n">
        <f aca="false">IF(L187=Reference!$A$28, Reference!$C$28, IF(L187=Reference!$A$27, Reference!$C$27, IF(L187=Reference!$A$26, Reference!$C$26, IF(L187=Reference!$A$25, Reference!$C$25, 0))))</f>
        <v>0</v>
      </c>
      <c r="AB187" s="16" t="n">
        <f aca="false">IF(N187=Reference!$A$36, Reference!$C$36, IF(N187=Reference!$A$35, Reference!$C$35, IF(N187=Reference!$A$34, Reference!$C$34, IF(N187=Reference!$A$33, Reference!$C$33, 0))))</f>
        <v>0</v>
      </c>
      <c r="AC187" s="16" t="n">
        <f aca="false">(Reference!$B$2*Y187 + Reference!$B$3*AA187 + Reference!$B$4*Z187 + Reference!$B$5 * AB187)/4</f>
        <v>0</v>
      </c>
      <c r="AD187" s="16" t="n">
        <f aca="false">IF(Q187=Reference!$C$41, Reference!$D$41, IF(Q187=Reference!$C$42, Reference!$D$42, IF(Q187=Reference!$C$43, Reference!$D$43, IF(Q187=Reference!$C$44, Reference!$D$44, 0))))</f>
        <v>0</v>
      </c>
      <c r="AE187" s="16" t="n">
        <f aca="false">1 + (AC187 * AD187)</f>
        <v>1</v>
      </c>
    </row>
    <row r="188" customFormat="false" ht="12.75" hidden="false" customHeight="true" outlineLevel="0" collapsed="false">
      <c r="A188" s="24"/>
      <c r="B188" s="15"/>
      <c r="C188" s="15"/>
      <c r="D188" s="25"/>
      <c r="E188" s="25"/>
      <c r="F188" s="15"/>
      <c r="G188" s="15"/>
      <c r="H188" s="15"/>
      <c r="I188" s="15"/>
      <c r="J188" s="15"/>
      <c r="K188" s="15"/>
      <c r="L188" s="15"/>
      <c r="M188" s="15"/>
      <c r="N188" s="15"/>
      <c r="O188" s="15"/>
      <c r="P188" s="22" t="str">
        <f aca="false">IF(AC188&gt;=Reference!$H$2, Reference!$G$2, IF(AC188&gt;=Reference!$H$3, Reference!$G$3, IF(AC188&gt;=Reference!$H$4, Reference!$G$4, IF(AC188&gt;=Reference!$H$5, Reference!$G$5, ""))))</f>
        <v/>
      </c>
      <c r="Q188" s="22" t="str">
        <f aca="false">IF(F188="Physical", "Very Low", IF(F188="Local", "Low", IF(F188="Adjacent", "Medium", IF(F188="Network", "High", ""))))</f>
        <v/>
      </c>
      <c r="R188" s="22" t="str">
        <f aca="false">IF(AE188&gt;=Reference!$D$2, Reference!$G$2, IF(AE188&gt;=Reference!$D$3, Reference!$E$3, IF(AE188&gt;=Reference!$D$4, Reference!$E$4, IF(AE188&gt;=Reference!$D$5, Reference!$E$5, ""))))</f>
        <v>Low</v>
      </c>
      <c r="S188" s="27"/>
      <c r="T188" s="16"/>
      <c r="U188" s="15"/>
      <c r="V188" s="15"/>
      <c r="W188" s="15"/>
      <c r="Y188" s="16" t="n">
        <f aca="false">IF(H188=Reference!$A$12, Reference!$C$12, IF(H188=Reference!$A$11, Reference!$C$11, IF(H188=Reference!$A$10, Reference!$C$10, IF(H188=Reference!$A$9, Reference!$C$9, 0))))</f>
        <v>0</v>
      </c>
      <c r="Z188" s="16" t="n">
        <f aca="false">IF(J188=Reference!$A$20, Reference!$C$20, IF(J188=Reference!$A$19, Reference!$C$19, IF(J188=Reference!$A$18, Reference!$C$18, IF(J188=Reference!$A$17, Reference!$C$17, 0))))</f>
        <v>0</v>
      </c>
      <c r="AA188" s="16" t="n">
        <f aca="false">IF(L188=Reference!$A$28, Reference!$C$28, IF(L188=Reference!$A$27, Reference!$C$27, IF(L188=Reference!$A$26, Reference!$C$26, IF(L188=Reference!$A$25, Reference!$C$25, 0))))</f>
        <v>0</v>
      </c>
      <c r="AB188" s="16" t="n">
        <f aca="false">IF(N188=Reference!$A$36, Reference!$C$36, IF(N188=Reference!$A$35, Reference!$C$35, IF(N188=Reference!$A$34, Reference!$C$34, IF(N188=Reference!$A$33, Reference!$C$33, 0))))</f>
        <v>0</v>
      </c>
      <c r="AC188" s="16" t="n">
        <f aca="false">(Reference!$B$2*Y188 + Reference!$B$3*AA188 + Reference!$B$4*Z188 + Reference!$B$5 * AB188)/4</f>
        <v>0</v>
      </c>
      <c r="AD188" s="16" t="n">
        <f aca="false">IF(Q188=Reference!$C$41, Reference!$D$41, IF(Q188=Reference!$C$42, Reference!$D$42, IF(Q188=Reference!$C$43, Reference!$D$43, IF(Q188=Reference!$C$44, Reference!$D$44, 0))))</f>
        <v>0</v>
      </c>
      <c r="AE188" s="16" t="n">
        <f aca="false">1 + (AC188 * AD188)</f>
        <v>1</v>
      </c>
    </row>
    <row r="189" customFormat="false" ht="12.75" hidden="false" customHeight="true" outlineLevel="0" collapsed="false">
      <c r="A189" s="24"/>
      <c r="B189" s="15"/>
      <c r="C189" s="15"/>
      <c r="D189" s="25"/>
      <c r="E189" s="25"/>
      <c r="F189" s="15"/>
      <c r="G189" s="15"/>
      <c r="H189" s="15"/>
      <c r="I189" s="15"/>
      <c r="J189" s="15"/>
      <c r="K189" s="26"/>
      <c r="L189" s="15"/>
      <c r="M189" s="15"/>
      <c r="N189" s="15"/>
      <c r="O189" s="15"/>
      <c r="P189" s="22" t="str">
        <f aca="false">IF(AC189&gt;=Reference!$H$2, Reference!$G$2, IF(AC189&gt;=Reference!$H$3, Reference!$G$3, IF(AC189&gt;=Reference!$H$4, Reference!$G$4, IF(AC189&gt;=Reference!$H$5, Reference!$G$5, ""))))</f>
        <v/>
      </c>
      <c r="Q189" s="22" t="str">
        <f aca="false">IF(F189="Physical", "Very Low", IF(F189="Local", "Low", IF(F189="Adjacent", "Medium", IF(F189="Network", "High", ""))))</f>
        <v/>
      </c>
      <c r="R189" s="22" t="str">
        <f aca="false">IF(AE189&gt;=Reference!$D$2, Reference!$G$2, IF(AE189&gt;=Reference!$D$3, Reference!$E$3, IF(AE189&gt;=Reference!$D$4, Reference!$E$4, IF(AE189&gt;=Reference!$D$5, Reference!$E$5, ""))))</f>
        <v>Low</v>
      </c>
      <c r="S189" s="27"/>
      <c r="T189" s="28"/>
      <c r="U189" s="15"/>
      <c r="V189" s="15"/>
      <c r="W189" s="15"/>
      <c r="Y189" s="16" t="n">
        <f aca="false">IF(H189=Reference!$A$12, Reference!$C$12, IF(H189=Reference!$A$11, Reference!$C$11, IF(H189=Reference!$A$10, Reference!$C$10, IF(H189=Reference!$A$9, Reference!$C$9, 0))))</f>
        <v>0</v>
      </c>
      <c r="Z189" s="16" t="n">
        <f aca="false">IF(J189=Reference!$A$20, Reference!$C$20, IF(J189=Reference!$A$19, Reference!$C$19, IF(J189=Reference!$A$18, Reference!$C$18, IF(J189=Reference!$A$17, Reference!$C$17, 0))))</f>
        <v>0</v>
      </c>
      <c r="AA189" s="16" t="n">
        <f aca="false">IF(L189=Reference!$A$28, Reference!$C$28, IF(L189=Reference!$A$27, Reference!$C$27, IF(L189=Reference!$A$26, Reference!$C$26, IF(L189=Reference!$A$25, Reference!$C$25, 0))))</f>
        <v>0</v>
      </c>
      <c r="AB189" s="16" t="n">
        <f aca="false">IF(N189=Reference!$A$36, Reference!$C$36, IF(N189=Reference!$A$35, Reference!$C$35, IF(N189=Reference!$A$34, Reference!$C$34, IF(N189=Reference!$A$33, Reference!$C$33, 0))))</f>
        <v>0</v>
      </c>
      <c r="AC189" s="16" t="n">
        <f aca="false">(Reference!$B$2*Y189 + Reference!$B$3*AA189 + Reference!$B$4*Z189 + Reference!$B$5 * AB189)/4</f>
        <v>0</v>
      </c>
      <c r="AD189" s="16" t="n">
        <f aca="false">IF(Q189=Reference!$C$41, Reference!$D$41, IF(Q189=Reference!$C$42, Reference!$D$42, IF(Q189=Reference!$C$43, Reference!$D$43, IF(Q189=Reference!$C$44, Reference!$D$44, 0))))</f>
        <v>0</v>
      </c>
      <c r="AE189" s="16" t="n">
        <f aca="false">1 + (AC189 * AD189)</f>
        <v>1</v>
      </c>
    </row>
    <row r="190" customFormat="false" ht="12.75" hidden="false" customHeight="true" outlineLevel="0" collapsed="false">
      <c r="A190" s="24"/>
      <c r="B190" s="15"/>
      <c r="C190" s="15"/>
      <c r="D190" s="25"/>
      <c r="E190" s="25"/>
      <c r="F190" s="15"/>
      <c r="G190" s="15"/>
      <c r="H190" s="15"/>
      <c r="I190" s="15"/>
      <c r="J190" s="15"/>
      <c r="K190" s="15"/>
      <c r="L190" s="15"/>
      <c r="M190" s="15"/>
      <c r="N190" s="15"/>
      <c r="O190" s="15"/>
      <c r="P190" s="22" t="str">
        <f aca="false">IF(AC190&gt;=Reference!$H$2, Reference!$G$2, IF(AC190&gt;=Reference!$H$3, Reference!$G$3, IF(AC190&gt;=Reference!$H$4, Reference!$G$4, IF(AC190&gt;=Reference!$H$5, Reference!$G$5, ""))))</f>
        <v/>
      </c>
      <c r="Q190" s="22" t="str">
        <f aca="false">IF(F190="Physical", "Very Low", IF(F190="Local", "Low", IF(F190="Adjacent", "Medium", IF(F190="Network", "High", ""))))</f>
        <v/>
      </c>
      <c r="R190" s="22" t="str">
        <f aca="false">IF(AE190&gt;=Reference!$D$2, Reference!$G$2, IF(AE190&gt;=Reference!$D$3, Reference!$E$3, IF(AE190&gt;=Reference!$D$4, Reference!$E$4, IF(AE190&gt;=Reference!$D$5, Reference!$E$5, ""))))</f>
        <v>Low</v>
      </c>
      <c r="S190" s="27"/>
      <c r="T190" s="28"/>
      <c r="U190" s="15"/>
      <c r="V190" s="15"/>
      <c r="W190" s="15"/>
      <c r="Y190" s="16" t="n">
        <f aca="false">IF(H190=Reference!$A$12, Reference!$C$12, IF(H190=Reference!$A$11, Reference!$C$11, IF(H190=Reference!$A$10, Reference!$C$10, IF(H190=Reference!$A$9, Reference!$C$9, 0))))</f>
        <v>0</v>
      </c>
      <c r="Z190" s="16" t="n">
        <f aca="false">IF(J190=Reference!$A$20, Reference!$C$20, IF(J190=Reference!$A$19, Reference!$C$19, IF(J190=Reference!$A$18, Reference!$C$18, IF(J190=Reference!$A$17, Reference!$C$17, 0))))</f>
        <v>0</v>
      </c>
      <c r="AA190" s="16" t="n">
        <f aca="false">IF(L190=Reference!$A$28, Reference!$C$28, IF(L190=Reference!$A$27, Reference!$C$27, IF(L190=Reference!$A$26, Reference!$C$26, IF(L190=Reference!$A$25, Reference!$C$25, 0))))</f>
        <v>0</v>
      </c>
      <c r="AB190" s="16" t="n">
        <f aca="false">IF(N190=Reference!$A$36, Reference!$C$36, IF(N190=Reference!$A$35, Reference!$C$35, IF(N190=Reference!$A$34, Reference!$C$34, IF(N190=Reference!$A$33, Reference!$C$33, 0))))</f>
        <v>0</v>
      </c>
      <c r="AC190" s="16" t="n">
        <f aca="false">(Reference!$B$2*Y190 + Reference!$B$3*AA190 + Reference!$B$4*Z190 + Reference!$B$5 * AB190)/4</f>
        <v>0</v>
      </c>
      <c r="AD190" s="16" t="n">
        <f aca="false">IF(Q190=Reference!$C$41, Reference!$D$41, IF(Q190=Reference!$C$42, Reference!$D$42, IF(Q190=Reference!$C$43, Reference!$D$43, IF(Q190=Reference!$C$44, Reference!$D$44, 0))))</f>
        <v>0</v>
      </c>
      <c r="AE190" s="16" t="n">
        <f aca="false">1 + (AC190 * AD190)</f>
        <v>1</v>
      </c>
    </row>
    <row r="191" customFormat="false" ht="12.75" hidden="false" customHeight="true" outlineLevel="0" collapsed="false">
      <c r="A191" s="24"/>
      <c r="B191" s="15"/>
      <c r="C191" s="15"/>
      <c r="D191" s="25"/>
      <c r="E191" s="25"/>
      <c r="F191" s="15"/>
      <c r="G191" s="15"/>
      <c r="H191" s="15"/>
      <c r="I191" s="15"/>
      <c r="J191" s="15"/>
      <c r="K191" s="26"/>
      <c r="L191" s="15"/>
      <c r="M191" s="15"/>
      <c r="N191" s="15"/>
      <c r="O191" s="15"/>
      <c r="P191" s="22" t="str">
        <f aca="false">IF(AC191&gt;=Reference!$H$2, Reference!$G$2, IF(AC191&gt;=Reference!$H$3, Reference!$G$3, IF(AC191&gt;=Reference!$H$4, Reference!$G$4, IF(AC191&gt;=Reference!$H$5, Reference!$G$5, ""))))</f>
        <v/>
      </c>
      <c r="Q191" s="22" t="str">
        <f aca="false">IF(F191="Physical", "Very Low", IF(F191="Local", "Low", IF(F191="Adjacent", "Medium", IF(F191="Network", "High", ""))))</f>
        <v/>
      </c>
      <c r="R191" s="22" t="str">
        <f aca="false">IF(AE191&gt;=Reference!$D$2, Reference!$G$2, IF(AE191&gt;=Reference!$D$3, Reference!$E$3, IF(AE191&gt;=Reference!$D$4, Reference!$E$4, IF(AE191&gt;=Reference!$D$5, Reference!$E$5, ""))))</f>
        <v>Low</v>
      </c>
      <c r="S191" s="27"/>
      <c r="T191" s="28"/>
      <c r="U191" s="15"/>
      <c r="V191" s="15"/>
      <c r="W191" s="15"/>
      <c r="Y191" s="16" t="n">
        <f aca="false">IF(H191=Reference!$A$12, Reference!$C$12, IF(H191=Reference!$A$11, Reference!$C$11, IF(H191=Reference!$A$10, Reference!$C$10, IF(H191=Reference!$A$9, Reference!$C$9, 0))))</f>
        <v>0</v>
      </c>
      <c r="Z191" s="16" t="n">
        <f aca="false">IF(J191=Reference!$A$20, Reference!$C$20, IF(J191=Reference!$A$19, Reference!$C$19, IF(J191=Reference!$A$18, Reference!$C$18, IF(J191=Reference!$A$17, Reference!$C$17, 0))))</f>
        <v>0</v>
      </c>
      <c r="AA191" s="16" t="n">
        <f aca="false">IF(L191=Reference!$A$28, Reference!$C$28, IF(L191=Reference!$A$27, Reference!$C$27, IF(L191=Reference!$A$26, Reference!$C$26, IF(L191=Reference!$A$25, Reference!$C$25, 0))))</f>
        <v>0</v>
      </c>
      <c r="AB191" s="16" t="n">
        <f aca="false">IF(N191=Reference!$A$36, Reference!$C$36, IF(N191=Reference!$A$35, Reference!$C$35, IF(N191=Reference!$A$34, Reference!$C$34, IF(N191=Reference!$A$33, Reference!$C$33, 0))))</f>
        <v>0</v>
      </c>
      <c r="AC191" s="16" t="n">
        <f aca="false">(Reference!$B$2*Y191 + Reference!$B$3*AA191 + Reference!$B$4*Z191 + Reference!$B$5 * AB191)/4</f>
        <v>0</v>
      </c>
      <c r="AD191" s="16" t="n">
        <f aca="false">IF(Q191=Reference!$C$41, Reference!$D$41, IF(Q191=Reference!$C$42, Reference!$D$42, IF(Q191=Reference!$C$43, Reference!$D$43, IF(Q191=Reference!$C$44, Reference!$D$44, 0))))</f>
        <v>0</v>
      </c>
      <c r="AE191" s="16" t="n">
        <f aca="false">1 + (AC191 * AD191)</f>
        <v>1</v>
      </c>
    </row>
    <row r="192" customFormat="false" ht="12.75" hidden="false" customHeight="true" outlineLevel="0" collapsed="false">
      <c r="A192" s="24"/>
      <c r="B192" s="15"/>
      <c r="C192" s="15"/>
      <c r="D192" s="25"/>
      <c r="E192" s="31"/>
      <c r="F192" s="15"/>
      <c r="G192" s="15"/>
      <c r="H192" s="15"/>
      <c r="I192" s="26"/>
      <c r="J192" s="15"/>
      <c r="K192" s="26"/>
      <c r="L192" s="15"/>
      <c r="M192" s="26"/>
      <c r="N192" s="15"/>
      <c r="O192" s="26"/>
      <c r="P192" s="22" t="str">
        <f aca="false">IF(AC192&gt;=Reference!$H$2, Reference!$G$2, IF(AC192&gt;=Reference!$H$3, Reference!$G$3, IF(AC192&gt;=Reference!$H$4, Reference!$G$4, IF(AC192&gt;=Reference!$H$5, Reference!$G$5, ""))))</f>
        <v/>
      </c>
      <c r="Q192" s="22" t="str">
        <f aca="false">IF(F192="Physical", "Very Low", IF(F192="Local", "Low", IF(F192="Adjacent", "Medium", IF(F192="Network", "High", ""))))</f>
        <v/>
      </c>
      <c r="R192" s="22" t="str">
        <f aca="false">IF(AE192&gt;=Reference!$D$2, Reference!$G$2, IF(AE192&gt;=Reference!$D$3, Reference!$E$3, IF(AE192&gt;=Reference!$D$4, Reference!$E$4, IF(AE192&gt;=Reference!$D$5, Reference!$E$5, ""))))</f>
        <v>Low</v>
      </c>
      <c r="S192" s="27"/>
      <c r="T192" s="28"/>
      <c r="U192" s="15"/>
      <c r="V192" s="15"/>
      <c r="W192" s="15"/>
      <c r="Y192" s="16" t="n">
        <f aca="false">IF(H192=Reference!$A$12, Reference!$C$12, IF(H192=Reference!$A$11, Reference!$C$11, IF(H192=Reference!$A$10, Reference!$C$10, IF(H192=Reference!$A$9, Reference!$C$9, 0))))</f>
        <v>0</v>
      </c>
      <c r="Z192" s="16" t="n">
        <f aca="false">IF(J192=Reference!$A$20, Reference!$C$20, IF(J192=Reference!$A$19, Reference!$C$19, IF(J192=Reference!$A$18, Reference!$C$18, IF(J192=Reference!$A$17, Reference!$C$17, 0))))</f>
        <v>0</v>
      </c>
      <c r="AA192" s="16" t="n">
        <f aca="false">IF(L192=Reference!$A$28, Reference!$C$28, IF(L192=Reference!$A$27, Reference!$C$27, IF(L192=Reference!$A$26, Reference!$C$26, IF(L192=Reference!$A$25, Reference!$C$25, 0))))</f>
        <v>0</v>
      </c>
      <c r="AB192" s="16" t="n">
        <f aca="false">IF(N192=Reference!$A$36, Reference!$C$36, IF(N192=Reference!$A$35, Reference!$C$35, IF(N192=Reference!$A$34, Reference!$C$34, IF(N192=Reference!$A$33, Reference!$C$33, 0))))</f>
        <v>0</v>
      </c>
      <c r="AC192" s="16" t="n">
        <f aca="false">(Reference!$B$2*Y192 + Reference!$B$3*AA192 + Reference!$B$4*Z192 + Reference!$B$5 * AB192)/4</f>
        <v>0</v>
      </c>
      <c r="AD192" s="16" t="n">
        <f aca="false">IF(Q192=Reference!$C$41, Reference!$D$41, IF(Q192=Reference!$C$42, Reference!$D$42, IF(Q192=Reference!$C$43, Reference!$D$43, IF(Q192=Reference!$C$44, Reference!$D$44, 0))))</f>
        <v>0</v>
      </c>
      <c r="AE192" s="16" t="n">
        <f aca="false">1 + (AC192 * AD192)</f>
        <v>1</v>
      </c>
    </row>
    <row r="193" customFormat="false" ht="12.75" hidden="false" customHeight="true" outlineLevel="0" collapsed="false">
      <c r="A193" s="24"/>
      <c r="B193" s="44"/>
      <c r="C193" s="15"/>
      <c r="D193" s="25"/>
      <c r="E193" s="25"/>
      <c r="F193" s="15"/>
      <c r="G193" s="15"/>
      <c r="H193" s="15"/>
      <c r="I193" s="15"/>
      <c r="J193" s="15"/>
      <c r="K193" s="26"/>
      <c r="L193" s="15"/>
      <c r="M193" s="15"/>
      <c r="N193" s="15"/>
      <c r="O193" s="15"/>
      <c r="P193" s="22" t="str">
        <f aca="false">IF(AC193&gt;=Reference!$H$2, Reference!$G$2, IF(AC193&gt;=Reference!$H$3, Reference!$G$3, IF(AC193&gt;=Reference!$H$4, Reference!$G$4, IF(AC193&gt;=Reference!$H$5, Reference!$G$5, ""))))</f>
        <v/>
      </c>
      <c r="Q193" s="22" t="str">
        <f aca="false">IF(F193="Physical", "Very Low", IF(F193="Local", "Low", IF(F193="Adjacent", "Medium", IF(F193="Network", "High", ""))))</f>
        <v/>
      </c>
      <c r="R193" s="22" t="str">
        <f aca="false">IF(AE193&gt;=Reference!$D$2, Reference!$G$2, IF(AE193&gt;=Reference!$D$3, Reference!$E$3, IF(AE193&gt;=Reference!$D$4, Reference!$E$4, IF(AE193&gt;=Reference!$D$5, Reference!$E$5, ""))))</f>
        <v>Low</v>
      </c>
      <c r="S193" s="27"/>
      <c r="T193" s="28"/>
      <c r="U193" s="15"/>
      <c r="V193" s="15"/>
      <c r="W193" s="15"/>
      <c r="Y193" s="16" t="n">
        <f aca="false">IF(H193=Reference!$A$12, Reference!$C$12, IF(H193=Reference!$A$11, Reference!$C$11, IF(H193=Reference!$A$10, Reference!$C$10, IF(H193=Reference!$A$9, Reference!$C$9, 0))))</f>
        <v>0</v>
      </c>
      <c r="Z193" s="16" t="n">
        <f aca="false">IF(J193=Reference!$A$20, Reference!$C$20, IF(J193=Reference!$A$19, Reference!$C$19, IF(J193=Reference!$A$18, Reference!$C$18, IF(J193=Reference!$A$17, Reference!$C$17, 0))))</f>
        <v>0</v>
      </c>
      <c r="AA193" s="16" t="n">
        <f aca="false">IF(L193=Reference!$A$28, Reference!$C$28, IF(L193=Reference!$A$27, Reference!$C$27, IF(L193=Reference!$A$26, Reference!$C$26, IF(L193=Reference!$A$25, Reference!$C$25, 0))))</f>
        <v>0</v>
      </c>
      <c r="AB193" s="16" t="n">
        <f aca="false">IF(N193=Reference!$A$36, Reference!$C$36, IF(N193=Reference!$A$35, Reference!$C$35, IF(N193=Reference!$A$34, Reference!$C$34, IF(N193=Reference!$A$33, Reference!$C$33, 0))))</f>
        <v>0</v>
      </c>
      <c r="AC193" s="16" t="n">
        <f aca="false">(Reference!$B$2*Y193 + Reference!$B$3*AA193 + Reference!$B$4*Z193 + Reference!$B$5 * AB193)/4</f>
        <v>0</v>
      </c>
      <c r="AD193" s="16" t="n">
        <f aca="false">IF(Q193=Reference!$C$41, Reference!$D$41, IF(Q193=Reference!$C$42, Reference!$D$42, IF(Q193=Reference!$C$43, Reference!$D$43, IF(Q193=Reference!$C$44, Reference!$D$44, 0))))</f>
        <v>0</v>
      </c>
      <c r="AE193" s="16" t="n">
        <f aca="false">1 + (AC193 * AD193)</f>
        <v>1</v>
      </c>
    </row>
    <row r="194" customFormat="false" ht="12.75" hidden="false" customHeight="true" outlineLevel="0" collapsed="false">
      <c r="A194" s="24"/>
      <c r="B194" s="15"/>
      <c r="C194" s="15"/>
      <c r="D194" s="25"/>
      <c r="E194" s="25"/>
      <c r="F194" s="15"/>
      <c r="G194" s="15"/>
      <c r="H194" s="15"/>
      <c r="I194" s="15"/>
      <c r="J194" s="15"/>
      <c r="K194" s="15"/>
      <c r="L194" s="15"/>
      <c r="M194" s="15"/>
      <c r="N194" s="15"/>
      <c r="O194" s="15"/>
      <c r="P194" s="22" t="str">
        <f aca="false">IF(AC194&gt;=Reference!$H$2, Reference!$G$2, IF(AC194&gt;=Reference!$H$3, Reference!$G$3, IF(AC194&gt;=Reference!$H$4, Reference!$G$4, IF(AC194&gt;=Reference!$H$5, Reference!$G$5, ""))))</f>
        <v/>
      </c>
      <c r="Q194" s="22" t="str">
        <f aca="false">IF(F194="Physical", "Very Low", IF(F194="Local", "Low", IF(F194="Adjacent", "Medium", IF(F194="Network", "High", ""))))</f>
        <v/>
      </c>
      <c r="R194" s="22" t="str">
        <f aca="false">IF(AE194&gt;=Reference!$D$2, Reference!$G$2, IF(AE194&gt;=Reference!$D$3, Reference!$E$3, IF(AE194&gt;=Reference!$D$4, Reference!$E$4, IF(AE194&gt;=Reference!$D$5, Reference!$E$5, ""))))</f>
        <v>Low</v>
      </c>
      <c r="S194" s="27"/>
      <c r="T194" s="28"/>
      <c r="U194" s="15"/>
      <c r="V194" s="15"/>
      <c r="W194" s="15"/>
      <c r="Y194" s="16" t="n">
        <f aca="false">IF(H194=Reference!$A$12, Reference!$C$12, IF(H194=Reference!$A$11, Reference!$C$11, IF(H194=Reference!$A$10, Reference!$C$10, IF(H194=Reference!$A$9, Reference!$C$9, 0))))</f>
        <v>0</v>
      </c>
      <c r="Z194" s="16" t="n">
        <f aca="false">IF(J194=Reference!$A$20, Reference!$C$20, IF(J194=Reference!$A$19, Reference!$C$19, IF(J194=Reference!$A$18, Reference!$C$18, IF(J194=Reference!$A$17, Reference!$C$17, 0))))</f>
        <v>0</v>
      </c>
      <c r="AA194" s="16" t="n">
        <f aca="false">IF(L194=Reference!$A$28, Reference!$C$28, IF(L194=Reference!$A$27, Reference!$C$27, IF(L194=Reference!$A$26, Reference!$C$26, IF(L194=Reference!$A$25, Reference!$C$25, 0))))</f>
        <v>0</v>
      </c>
      <c r="AB194" s="16" t="n">
        <f aca="false">IF(N194=Reference!$A$36, Reference!$C$36, IF(N194=Reference!$A$35, Reference!$C$35, IF(N194=Reference!$A$34, Reference!$C$34, IF(N194=Reference!$A$33, Reference!$C$33, 0))))</f>
        <v>0</v>
      </c>
      <c r="AC194" s="16" t="n">
        <f aca="false">(Reference!$B$2*Y194 + Reference!$B$3*AA194 + Reference!$B$4*Z194 + Reference!$B$5 * AB194)/4</f>
        <v>0</v>
      </c>
      <c r="AD194" s="16" t="n">
        <f aca="false">IF(Q194=Reference!$C$41, Reference!$D$41, IF(Q194=Reference!$C$42, Reference!$D$42, IF(Q194=Reference!$C$43, Reference!$D$43, IF(Q194=Reference!$C$44, Reference!$D$44, 0))))</f>
        <v>0</v>
      </c>
      <c r="AE194" s="16" t="n">
        <f aca="false">1 + (AC194 * AD194)</f>
        <v>1</v>
      </c>
    </row>
    <row r="195" customFormat="false" ht="12.75" hidden="false" customHeight="true" outlineLevel="0" collapsed="false">
      <c r="A195" s="24"/>
      <c r="B195" s="15"/>
      <c r="C195" s="15"/>
      <c r="D195" s="25"/>
      <c r="E195" s="25"/>
      <c r="F195" s="15"/>
      <c r="G195" s="15"/>
      <c r="H195" s="15"/>
      <c r="I195" s="26"/>
      <c r="J195" s="15"/>
      <c r="K195" s="26"/>
      <c r="L195" s="15"/>
      <c r="M195" s="26"/>
      <c r="N195" s="15"/>
      <c r="O195" s="26"/>
      <c r="P195" s="22" t="str">
        <f aca="false">IF(AC195&gt;=Reference!$H$2, Reference!$G$2, IF(AC195&gt;=Reference!$H$3, Reference!$G$3, IF(AC195&gt;=Reference!$H$4, Reference!$G$4, IF(AC195&gt;=Reference!$H$5, Reference!$G$5, ""))))</f>
        <v/>
      </c>
      <c r="Q195" s="22" t="str">
        <f aca="false">IF(F195="Physical", "Very Low", IF(F195="Local", "Low", IF(F195="Adjacent", "Medium", IF(F195="Network", "High", ""))))</f>
        <v/>
      </c>
      <c r="R195" s="22" t="str">
        <f aca="false">IF(AE195&gt;=Reference!$D$2, Reference!$G$2, IF(AE195&gt;=Reference!$D$3, Reference!$E$3, IF(AE195&gt;=Reference!$D$4, Reference!$E$4, IF(AE195&gt;=Reference!$D$5, Reference!$E$5, ""))))</f>
        <v>Low</v>
      </c>
      <c r="S195" s="27"/>
      <c r="T195" s="28"/>
      <c r="U195" s="15"/>
      <c r="V195" s="15"/>
      <c r="W195" s="15"/>
      <c r="Y195" s="16" t="n">
        <f aca="false">IF(H195=Reference!$A$12, Reference!$C$12, IF(H195=Reference!$A$11, Reference!$C$11, IF(H195=Reference!$A$10, Reference!$C$10, IF(H195=Reference!$A$9, Reference!$C$9, 0))))</f>
        <v>0</v>
      </c>
      <c r="Z195" s="16" t="n">
        <f aca="false">IF(J195=Reference!$A$20, Reference!$C$20, IF(J195=Reference!$A$19, Reference!$C$19, IF(J195=Reference!$A$18, Reference!$C$18, IF(J195=Reference!$A$17, Reference!$C$17, 0))))</f>
        <v>0</v>
      </c>
      <c r="AA195" s="16" t="n">
        <f aca="false">IF(L195=Reference!$A$28, Reference!$C$28, IF(L195=Reference!$A$27, Reference!$C$27, IF(L195=Reference!$A$26, Reference!$C$26, IF(L195=Reference!$A$25, Reference!$C$25, 0))))</f>
        <v>0</v>
      </c>
      <c r="AB195" s="16" t="n">
        <f aca="false">IF(N195=Reference!$A$36, Reference!$C$36, IF(N195=Reference!$A$35, Reference!$C$35, IF(N195=Reference!$A$34, Reference!$C$34, IF(N195=Reference!$A$33, Reference!$C$33, 0))))</f>
        <v>0</v>
      </c>
      <c r="AC195" s="16" t="n">
        <f aca="false">(Reference!$B$2*Y195 + Reference!$B$3*AA195 + Reference!$B$4*Z195 + Reference!$B$5 * AB195)/4</f>
        <v>0</v>
      </c>
      <c r="AD195" s="16" t="n">
        <f aca="false">IF(Q195=Reference!$C$41, Reference!$D$41, IF(Q195=Reference!$C$42, Reference!$D$42, IF(Q195=Reference!$C$43, Reference!$D$43, IF(Q195=Reference!$C$44, Reference!$D$44, 0))))</f>
        <v>0</v>
      </c>
      <c r="AE195" s="16" t="n">
        <f aca="false">1 + (AC195 * AD195)</f>
        <v>1</v>
      </c>
    </row>
    <row r="196" customFormat="false" ht="12.75" hidden="false" customHeight="true" outlineLevel="0" collapsed="false">
      <c r="A196" s="24"/>
      <c r="B196" s="15"/>
      <c r="C196" s="15"/>
      <c r="D196" s="25"/>
      <c r="E196" s="31"/>
      <c r="F196" s="15"/>
      <c r="G196" s="15"/>
      <c r="H196" s="15"/>
      <c r="I196" s="26"/>
      <c r="J196" s="15"/>
      <c r="K196" s="26"/>
      <c r="L196" s="15"/>
      <c r="M196" s="26"/>
      <c r="N196" s="15"/>
      <c r="O196" s="26"/>
      <c r="P196" s="22" t="str">
        <f aca="false">IF(AC196&gt;=Reference!$H$2, Reference!$G$2, IF(AC196&gt;=Reference!$H$3, Reference!$G$3, IF(AC196&gt;=Reference!$H$4, Reference!$G$4, IF(AC196&gt;=Reference!$H$5, Reference!$G$5, ""))))</f>
        <v/>
      </c>
      <c r="Q196" s="22" t="str">
        <f aca="false">IF(F196="Physical", "Very Low", IF(F196="Local", "Low", IF(F196="Adjacent", "Medium", IF(F196="Network", "High", ""))))</f>
        <v/>
      </c>
      <c r="R196" s="22" t="str">
        <f aca="false">IF(AE196&gt;=Reference!$D$2, Reference!$G$2, IF(AE196&gt;=Reference!$D$3, Reference!$E$3, IF(AE196&gt;=Reference!$D$4, Reference!$E$4, IF(AE196&gt;=Reference!$D$5, Reference!$E$5, ""))))</f>
        <v>Low</v>
      </c>
      <c r="S196" s="27"/>
      <c r="T196" s="28"/>
      <c r="U196" s="15"/>
      <c r="V196" s="15"/>
      <c r="W196" s="15"/>
      <c r="Y196" s="16" t="n">
        <f aca="false">IF(H196=Reference!$A$12, Reference!$C$12, IF(H196=Reference!$A$11, Reference!$C$11, IF(H196=Reference!$A$10, Reference!$C$10, IF(H196=Reference!$A$9, Reference!$C$9, 0))))</f>
        <v>0</v>
      </c>
      <c r="Z196" s="16" t="n">
        <f aca="false">IF(J196=Reference!$A$20, Reference!$C$20, IF(J196=Reference!$A$19, Reference!$C$19, IF(J196=Reference!$A$18, Reference!$C$18, IF(J196=Reference!$A$17, Reference!$C$17, 0))))</f>
        <v>0</v>
      </c>
      <c r="AA196" s="16" t="n">
        <f aca="false">IF(L196=Reference!$A$28, Reference!$C$28, IF(L196=Reference!$A$27, Reference!$C$27, IF(L196=Reference!$A$26, Reference!$C$26, IF(L196=Reference!$A$25, Reference!$C$25, 0))))</f>
        <v>0</v>
      </c>
      <c r="AB196" s="16" t="n">
        <f aca="false">IF(N196=Reference!$A$36, Reference!$C$36, IF(N196=Reference!$A$35, Reference!$C$35, IF(N196=Reference!$A$34, Reference!$C$34, IF(N196=Reference!$A$33, Reference!$C$33, 0))))</f>
        <v>0</v>
      </c>
      <c r="AC196" s="16" t="n">
        <f aca="false">(Reference!$B$2*Y196 + Reference!$B$3*AA196 + Reference!$B$4*Z196 + Reference!$B$5 * AB196)/4</f>
        <v>0</v>
      </c>
      <c r="AD196" s="16" t="n">
        <f aca="false">IF(Q196=Reference!$C$41, Reference!$D$41, IF(Q196=Reference!$C$42, Reference!$D$42, IF(Q196=Reference!$C$43, Reference!$D$43, IF(Q196=Reference!$C$44, Reference!$D$44, 0))))</f>
        <v>0</v>
      </c>
      <c r="AE196" s="16" t="n">
        <f aca="false">1 + (AC196 * AD196)</f>
        <v>1</v>
      </c>
    </row>
    <row r="197" customFormat="false" ht="12.75" hidden="false" customHeight="true" outlineLevel="0" collapsed="false">
      <c r="A197" s="24"/>
      <c r="B197" s="15"/>
      <c r="C197" s="15"/>
      <c r="D197" s="25"/>
      <c r="E197" s="25"/>
      <c r="F197" s="15"/>
      <c r="G197" s="15"/>
      <c r="H197" s="15"/>
      <c r="I197" s="15"/>
      <c r="J197" s="15"/>
      <c r="K197" s="15"/>
      <c r="L197" s="15"/>
      <c r="M197" s="15"/>
      <c r="N197" s="15"/>
      <c r="O197" s="15"/>
      <c r="P197" s="22" t="str">
        <f aca="false">IF(AC197&gt;=Reference!$H$2, Reference!$G$2, IF(AC197&gt;=Reference!$H$3, Reference!$G$3, IF(AC197&gt;=Reference!$H$4, Reference!$G$4, IF(AC197&gt;=Reference!$H$5, Reference!$G$5, ""))))</f>
        <v/>
      </c>
      <c r="Q197" s="22" t="str">
        <f aca="false">IF(F197="Physical", "Very Low", IF(F197="Local", "Low", IF(F197="Adjacent", "Medium", IF(F197="Network", "High", ""))))</f>
        <v/>
      </c>
      <c r="R197" s="22" t="str">
        <f aca="false">IF(AE197&gt;=Reference!$D$2, Reference!$G$2, IF(AE197&gt;=Reference!$D$3, Reference!$E$3, IF(AE197&gt;=Reference!$D$4, Reference!$E$4, IF(AE197&gt;=Reference!$D$5, Reference!$E$5, ""))))</f>
        <v>Low</v>
      </c>
      <c r="S197" s="27"/>
      <c r="T197" s="28"/>
      <c r="U197" s="15"/>
      <c r="V197" s="15"/>
      <c r="W197" s="15"/>
      <c r="Y197" s="16" t="n">
        <f aca="false">IF(H197=Reference!$A$12, Reference!$C$12, IF(H197=Reference!$A$11, Reference!$C$11, IF(H197=Reference!$A$10, Reference!$C$10, IF(H197=Reference!$A$9, Reference!$C$9, 0))))</f>
        <v>0</v>
      </c>
      <c r="Z197" s="16" t="n">
        <f aca="false">IF(J197=Reference!$A$20, Reference!$C$20, IF(J197=Reference!$A$19, Reference!$C$19, IF(J197=Reference!$A$18, Reference!$C$18, IF(J197=Reference!$A$17, Reference!$C$17, 0))))</f>
        <v>0</v>
      </c>
      <c r="AA197" s="16" t="n">
        <f aca="false">IF(L197=Reference!$A$28, Reference!$C$28, IF(L197=Reference!$A$27, Reference!$C$27, IF(L197=Reference!$A$26, Reference!$C$26, IF(L197=Reference!$A$25, Reference!$C$25, 0))))</f>
        <v>0</v>
      </c>
      <c r="AB197" s="16" t="n">
        <f aca="false">IF(N197=Reference!$A$36, Reference!$C$36, IF(N197=Reference!$A$35, Reference!$C$35, IF(N197=Reference!$A$34, Reference!$C$34, IF(N197=Reference!$A$33, Reference!$C$33, 0))))</f>
        <v>0</v>
      </c>
      <c r="AC197" s="16" t="n">
        <f aca="false">(Reference!$B$2*Y197 + Reference!$B$3*AA197 + Reference!$B$4*Z197 + Reference!$B$5 * AB197)/4</f>
        <v>0</v>
      </c>
      <c r="AD197" s="16" t="n">
        <f aca="false">IF(Q197=Reference!$C$41, Reference!$D$41, IF(Q197=Reference!$C$42, Reference!$D$42, IF(Q197=Reference!$C$43, Reference!$D$43, IF(Q197=Reference!$C$44, Reference!$D$44, 0))))</f>
        <v>0</v>
      </c>
      <c r="AE197" s="16" t="n">
        <f aca="false">1 + (AC197 * AD197)</f>
        <v>1</v>
      </c>
    </row>
    <row r="198" customFormat="false" ht="12.75" hidden="false" customHeight="true" outlineLevel="0" collapsed="false">
      <c r="A198" s="24"/>
      <c r="B198" s="15"/>
      <c r="C198" s="15"/>
      <c r="D198" s="25"/>
      <c r="E198" s="25"/>
      <c r="F198" s="15"/>
      <c r="G198" s="15"/>
      <c r="H198" s="15"/>
      <c r="I198" s="15"/>
      <c r="J198" s="15"/>
      <c r="K198" s="15"/>
      <c r="L198" s="15"/>
      <c r="M198" s="15"/>
      <c r="N198" s="15"/>
      <c r="O198" s="15"/>
      <c r="P198" s="22" t="str">
        <f aca="false">IF(AC198&gt;=Reference!$H$2, Reference!$G$2, IF(AC198&gt;=Reference!$H$3, Reference!$G$3, IF(AC198&gt;=Reference!$H$4, Reference!$G$4, IF(AC198&gt;=Reference!$H$5, Reference!$G$5, ""))))</f>
        <v/>
      </c>
      <c r="Q198" s="22" t="str">
        <f aca="false">IF(F198="Physical", "Very Low", IF(F198="Local", "Low", IF(F198="Adjacent", "Medium", IF(F198="Network", "High", ""))))</f>
        <v/>
      </c>
      <c r="R198" s="22" t="str">
        <f aca="false">IF(AE198&gt;=Reference!$D$2, Reference!$G$2, IF(AE198&gt;=Reference!$D$3, Reference!$E$3, IF(AE198&gt;=Reference!$D$4, Reference!$E$4, IF(AE198&gt;=Reference!$D$5, Reference!$E$5, ""))))</f>
        <v>Low</v>
      </c>
      <c r="S198" s="27"/>
      <c r="T198" s="16"/>
      <c r="U198" s="15"/>
      <c r="V198" s="15"/>
      <c r="W198" s="15"/>
      <c r="Y198" s="16" t="n">
        <f aca="false">IF(H198=Reference!$A$12, Reference!$C$12, IF(H198=Reference!$A$11, Reference!$C$11, IF(H198=Reference!$A$10, Reference!$C$10, IF(H198=Reference!$A$9, Reference!$C$9, 0))))</f>
        <v>0</v>
      </c>
      <c r="Z198" s="16" t="n">
        <f aca="false">IF(J198=Reference!$A$20, Reference!$C$20, IF(J198=Reference!$A$19, Reference!$C$19, IF(J198=Reference!$A$18, Reference!$C$18, IF(J198=Reference!$A$17, Reference!$C$17, 0))))</f>
        <v>0</v>
      </c>
      <c r="AA198" s="16" t="n">
        <f aca="false">IF(L198=Reference!$A$28, Reference!$C$28, IF(L198=Reference!$A$27, Reference!$C$27, IF(L198=Reference!$A$26, Reference!$C$26, IF(L198=Reference!$A$25, Reference!$C$25, 0))))</f>
        <v>0</v>
      </c>
      <c r="AB198" s="16" t="n">
        <f aca="false">IF(N198=Reference!$A$36, Reference!$C$36, IF(N198=Reference!$A$35, Reference!$C$35, IF(N198=Reference!$A$34, Reference!$C$34, IF(N198=Reference!$A$33, Reference!$C$33, 0))))</f>
        <v>0</v>
      </c>
      <c r="AC198" s="16" t="n">
        <f aca="false">(Reference!$B$2*Y198 + Reference!$B$3*AA198 + Reference!$B$4*Z198 + Reference!$B$5 * AB198)/4</f>
        <v>0</v>
      </c>
      <c r="AD198" s="16" t="n">
        <f aca="false">IF(Q198=Reference!$C$41, Reference!$D$41, IF(Q198=Reference!$C$42, Reference!$D$42, IF(Q198=Reference!$C$43, Reference!$D$43, IF(Q198=Reference!$C$44, Reference!$D$44, 0))))</f>
        <v>0</v>
      </c>
      <c r="AE198" s="16" t="n">
        <f aca="false">1 + (AC198 * AD198)</f>
        <v>1</v>
      </c>
    </row>
    <row r="199" customFormat="false" ht="12.75" hidden="false" customHeight="true" outlineLevel="0" collapsed="false">
      <c r="A199" s="24"/>
      <c r="B199" s="44"/>
      <c r="C199" s="15"/>
      <c r="D199" s="25"/>
      <c r="E199" s="25"/>
      <c r="F199" s="15"/>
      <c r="G199" s="15"/>
      <c r="H199" s="15"/>
      <c r="I199" s="15"/>
      <c r="J199" s="15"/>
      <c r="K199" s="15"/>
      <c r="L199" s="15"/>
      <c r="M199" s="15"/>
      <c r="N199" s="15"/>
      <c r="O199" s="15"/>
      <c r="P199" s="22" t="str">
        <f aca="false">IF(AC199&gt;=Reference!$H$2, Reference!$G$2, IF(AC199&gt;=Reference!$H$3, Reference!$G$3, IF(AC199&gt;=Reference!$H$4, Reference!$G$4, IF(AC199&gt;=Reference!$H$5, Reference!$G$5, ""))))</f>
        <v/>
      </c>
      <c r="Q199" s="22" t="str">
        <f aca="false">IF(F199="Physical", "Very Low", IF(F199="Local", "Low", IF(F199="Adjacent", "Medium", IF(F199="Network", "High", ""))))</f>
        <v/>
      </c>
      <c r="R199" s="22" t="str">
        <f aca="false">IF(AE199&gt;=Reference!$D$2, Reference!$G$2, IF(AE199&gt;=Reference!$D$3, Reference!$E$3, IF(AE199&gt;=Reference!$D$4, Reference!$E$4, IF(AE199&gt;=Reference!$D$5, Reference!$E$5, ""))))</f>
        <v>Low</v>
      </c>
      <c r="S199" s="27"/>
      <c r="T199" s="15"/>
      <c r="U199" s="15"/>
      <c r="V199" s="15"/>
      <c r="W199" s="15"/>
      <c r="Y199" s="16" t="n">
        <f aca="false">IF(H199=Reference!$A$12, Reference!$C$12, IF(H199=Reference!$A$11, Reference!$C$11, IF(H199=Reference!$A$10, Reference!$C$10, IF(H199=Reference!$A$9, Reference!$C$9, 0))))</f>
        <v>0</v>
      </c>
      <c r="Z199" s="16" t="n">
        <f aca="false">IF(J199=Reference!$A$20, Reference!$C$20, IF(J199=Reference!$A$19, Reference!$C$19, IF(J199=Reference!$A$18, Reference!$C$18, IF(J199=Reference!$A$17, Reference!$C$17, 0))))</f>
        <v>0</v>
      </c>
      <c r="AA199" s="16" t="n">
        <f aca="false">IF(L199=Reference!$A$28, Reference!$C$28, IF(L199=Reference!$A$27, Reference!$C$27, IF(L199=Reference!$A$26, Reference!$C$26, IF(L199=Reference!$A$25, Reference!$C$25, 0))))</f>
        <v>0</v>
      </c>
      <c r="AB199" s="16" t="n">
        <f aca="false">IF(N199=Reference!$A$36, Reference!$C$36, IF(N199=Reference!$A$35, Reference!$C$35, IF(N199=Reference!$A$34, Reference!$C$34, IF(N199=Reference!$A$33, Reference!$C$33, 0))))</f>
        <v>0</v>
      </c>
      <c r="AC199" s="16" t="n">
        <f aca="false">(Reference!$B$2*Y199 + Reference!$B$3*AA199 + Reference!$B$4*Z199 + Reference!$B$5 * AB199)/4</f>
        <v>0</v>
      </c>
      <c r="AD199" s="16" t="n">
        <f aca="false">IF(Q199=Reference!$C$41, Reference!$D$41, IF(Q199=Reference!$C$42, Reference!$D$42, IF(Q199=Reference!$C$43, Reference!$D$43, IF(Q199=Reference!$C$44, Reference!$D$44, 0))))</f>
        <v>0</v>
      </c>
      <c r="AE199" s="16" t="n">
        <f aca="false">1 + (AC199 * AD199)</f>
        <v>1</v>
      </c>
    </row>
    <row r="200" customFormat="false" ht="12.75" hidden="false" customHeight="true" outlineLevel="0" collapsed="false">
      <c r="A200" s="24"/>
      <c r="B200" s="15"/>
      <c r="C200" s="15"/>
      <c r="D200" s="31"/>
      <c r="E200" s="31"/>
      <c r="F200" s="15"/>
      <c r="G200" s="26"/>
      <c r="H200" s="15"/>
      <c r="I200" s="26"/>
      <c r="J200" s="15"/>
      <c r="K200" s="15"/>
      <c r="L200" s="15"/>
      <c r="M200" s="26"/>
      <c r="N200" s="15"/>
      <c r="O200" s="15"/>
      <c r="P200" s="22" t="str">
        <f aca="false">IF(AC200&gt;=Reference!$H$2, Reference!$G$2, IF(AC200&gt;=Reference!$H$3, Reference!$G$3, IF(AC200&gt;=Reference!$H$4, Reference!$G$4, IF(AC200&gt;=Reference!$H$5, Reference!$G$5, ""))))</f>
        <v/>
      </c>
      <c r="Q200" s="22" t="str">
        <f aca="false">IF(F200="Physical", "Very Low", IF(F200="Local", "Low", IF(F200="Adjacent", "Medium", IF(F200="Network", "High", ""))))</f>
        <v/>
      </c>
      <c r="R200" s="22" t="str">
        <f aca="false">IF(AE200&gt;=Reference!$D$2, Reference!$G$2, IF(AE200&gt;=Reference!$D$3, Reference!$E$3, IF(AE200&gt;=Reference!$D$4, Reference!$E$4, IF(AE200&gt;=Reference!$D$5, Reference!$E$5, ""))))</f>
        <v>Low</v>
      </c>
      <c r="S200" s="27"/>
      <c r="T200" s="38"/>
      <c r="U200" s="15"/>
      <c r="V200" s="10"/>
      <c r="W200" s="15"/>
      <c r="Y200" s="16" t="n">
        <f aca="false">IF(H200=Reference!$A$12, Reference!$C$12, IF(H200=Reference!$A$11, Reference!$C$11, IF(H200=Reference!$A$10, Reference!$C$10, IF(H200=Reference!$A$9, Reference!$C$9, 0))))</f>
        <v>0</v>
      </c>
      <c r="Z200" s="16" t="n">
        <f aca="false">IF(J200=Reference!$A$20, Reference!$C$20, IF(J200=Reference!$A$19, Reference!$C$19, IF(J200=Reference!$A$18, Reference!$C$18, IF(J200=Reference!$A$17, Reference!$C$17, 0))))</f>
        <v>0</v>
      </c>
      <c r="AA200" s="16" t="n">
        <f aca="false">IF(L200=Reference!$A$28, Reference!$C$28, IF(L200=Reference!$A$27, Reference!$C$27, IF(L200=Reference!$A$26, Reference!$C$26, IF(L200=Reference!$A$25, Reference!$C$25, 0))))</f>
        <v>0</v>
      </c>
      <c r="AB200" s="16" t="n">
        <f aca="false">IF(N200=Reference!$A$36, Reference!$C$36, IF(N200=Reference!$A$35, Reference!$C$35, IF(N200=Reference!$A$34, Reference!$C$34, IF(N200=Reference!$A$33, Reference!$C$33, 0))))</f>
        <v>0</v>
      </c>
      <c r="AC200" s="16" t="n">
        <f aca="false">(Reference!$B$2*Y200 + Reference!$B$3*AA200 + Reference!$B$4*Z200 + Reference!$B$5 * AB200)/4</f>
        <v>0</v>
      </c>
      <c r="AD200" s="16" t="n">
        <f aca="false">IF(Q200=Reference!$C$41, Reference!$D$41, IF(Q200=Reference!$C$42, Reference!$D$42, IF(Q200=Reference!$C$43, Reference!$D$43, IF(Q200=Reference!$C$44, Reference!$D$44, 0))))</f>
        <v>0</v>
      </c>
      <c r="AE200" s="16" t="n">
        <f aca="false">1 + (AC200 * AD200)</f>
        <v>1</v>
      </c>
    </row>
    <row r="201" customFormat="false" ht="12.75" hidden="false" customHeight="true" outlineLevel="0" collapsed="false">
      <c r="A201" s="24"/>
      <c r="B201" s="15"/>
      <c r="C201" s="15"/>
      <c r="D201" s="25"/>
      <c r="E201" s="31"/>
      <c r="F201" s="15"/>
      <c r="G201" s="15"/>
      <c r="H201" s="15"/>
      <c r="I201" s="15"/>
      <c r="J201" s="15"/>
      <c r="K201" s="15"/>
      <c r="L201" s="15"/>
      <c r="M201" s="15"/>
      <c r="N201" s="15"/>
      <c r="O201" s="15"/>
      <c r="P201" s="22" t="str">
        <f aca="false">IF(AC201&gt;=Reference!$H$2, Reference!$G$2, IF(AC201&gt;=Reference!$H$3, Reference!$G$3, IF(AC201&gt;=Reference!$H$4, Reference!$G$4, IF(AC201&gt;=Reference!$H$5, Reference!$G$5, ""))))</f>
        <v/>
      </c>
      <c r="Q201" s="22" t="str">
        <f aca="false">IF(F201="Physical", "Very Low", IF(F201="Local", "Low", IF(F201="Adjacent", "Medium", IF(F201="Network", "High", ""))))</f>
        <v/>
      </c>
      <c r="R201" s="22" t="str">
        <f aca="false">IF(AE201&gt;=Reference!$D$2, Reference!$G$2, IF(AE201&gt;=Reference!$D$3, Reference!$E$3, IF(AE201&gt;=Reference!$D$4, Reference!$E$4, IF(AE201&gt;=Reference!$D$5, Reference!$E$5, ""))))</f>
        <v>Low</v>
      </c>
      <c r="S201" s="27"/>
      <c r="T201" s="28"/>
      <c r="U201" s="15"/>
      <c r="V201" s="15"/>
      <c r="W201" s="15"/>
      <c r="Y201" s="16" t="n">
        <f aca="false">IF(H201=Reference!$A$12, Reference!$C$12, IF(H201=Reference!$A$11, Reference!$C$11, IF(H201=Reference!$A$10, Reference!$C$10, IF(H201=Reference!$A$9, Reference!$C$9, 0))))</f>
        <v>0</v>
      </c>
      <c r="Z201" s="16" t="n">
        <f aca="false">IF(J201=Reference!$A$20, Reference!$C$20, IF(J201=Reference!$A$19, Reference!$C$19, IF(J201=Reference!$A$18, Reference!$C$18, IF(J201=Reference!$A$17, Reference!$C$17, 0))))</f>
        <v>0</v>
      </c>
      <c r="AA201" s="16" t="n">
        <f aca="false">IF(L201=Reference!$A$28, Reference!$C$28, IF(L201=Reference!$A$27, Reference!$C$27, IF(L201=Reference!$A$26, Reference!$C$26, IF(L201=Reference!$A$25, Reference!$C$25, 0))))</f>
        <v>0</v>
      </c>
      <c r="AB201" s="16" t="n">
        <f aca="false">IF(N201=Reference!$A$36, Reference!$C$36, IF(N201=Reference!$A$35, Reference!$C$35, IF(N201=Reference!$A$34, Reference!$C$34, IF(N201=Reference!$A$33, Reference!$C$33, 0))))</f>
        <v>0</v>
      </c>
      <c r="AC201" s="16" t="n">
        <f aca="false">(Reference!$B$2*Y201 + Reference!$B$3*AA201 + Reference!$B$4*Z201 + Reference!$B$5 * AB201)/4</f>
        <v>0</v>
      </c>
      <c r="AD201" s="16" t="n">
        <f aca="false">IF(Q201=Reference!$C$41, Reference!$D$41, IF(Q201=Reference!$C$42, Reference!$D$42, IF(Q201=Reference!$C$43, Reference!$D$43, IF(Q201=Reference!$C$44, Reference!$D$44, 0))))</f>
        <v>0</v>
      </c>
      <c r="AE201" s="16" t="n">
        <f aca="false">1 + (AC201 * AD201)</f>
        <v>1</v>
      </c>
    </row>
    <row r="202" customFormat="false" ht="12.75" hidden="false" customHeight="true" outlineLevel="0" collapsed="false">
      <c r="A202" s="24"/>
      <c r="B202" s="15"/>
      <c r="C202" s="15"/>
      <c r="D202" s="25"/>
      <c r="E202" s="25"/>
      <c r="F202" s="15"/>
      <c r="G202" s="15"/>
      <c r="H202" s="15"/>
      <c r="I202" s="26"/>
      <c r="J202" s="15"/>
      <c r="K202" s="15"/>
      <c r="L202" s="15"/>
      <c r="M202" s="15"/>
      <c r="N202" s="15"/>
      <c r="O202" s="15"/>
      <c r="P202" s="22" t="str">
        <f aca="false">IF(AC202&gt;=Reference!$H$2, Reference!$G$2, IF(AC202&gt;=Reference!$H$3, Reference!$G$3, IF(AC202&gt;=Reference!$H$4, Reference!$G$4, IF(AC202&gt;=Reference!$H$5, Reference!$G$5, ""))))</f>
        <v/>
      </c>
      <c r="Q202" s="22" t="str">
        <f aca="false">IF(F202="Physical", "Very Low", IF(F202="Local", "Low", IF(F202="Adjacent", "Medium", IF(F202="Network", "High", ""))))</f>
        <v/>
      </c>
      <c r="R202" s="22" t="str">
        <f aca="false">IF(AE202&gt;=Reference!$D$2, Reference!$G$2, IF(AE202&gt;=Reference!$D$3, Reference!$E$3, IF(AE202&gt;=Reference!$D$4, Reference!$E$4, IF(AE202&gt;=Reference!$D$5, Reference!$E$5, ""))))</f>
        <v>Low</v>
      </c>
      <c r="S202" s="27"/>
      <c r="T202" s="28"/>
      <c r="U202" s="15"/>
      <c r="V202" s="16"/>
      <c r="W202" s="15"/>
      <c r="X202" s="23"/>
      <c r="Y202" s="16" t="n">
        <f aca="false">IF(H202=Reference!$A$12, Reference!$C$12, IF(H202=Reference!$A$11, Reference!$C$11, IF(H202=Reference!$A$10, Reference!$C$10, IF(H202=Reference!$A$9, Reference!$C$9, 0))))</f>
        <v>0</v>
      </c>
      <c r="Z202" s="16" t="n">
        <f aca="false">IF(J202=Reference!$A$20, Reference!$C$20, IF(J202=Reference!$A$19, Reference!$C$19, IF(J202=Reference!$A$18, Reference!$C$18, IF(J202=Reference!$A$17, Reference!$C$17, 0))))</f>
        <v>0</v>
      </c>
      <c r="AA202" s="16" t="n">
        <f aca="false">IF(L202=Reference!$A$28, Reference!$C$28, IF(L202=Reference!$A$27, Reference!$C$27, IF(L202=Reference!$A$26, Reference!$C$26, IF(L202=Reference!$A$25, Reference!$C$25, 0))))</f>
        <v>0</v>
      </c>
      <c r="AB202" s="16" t="n">
        <f aca="false">IF(N202=Reference!$A$36, Reference!$C$36, IF(N202=Reference!$A$35, Reference!$C$35, IF(N202=Reference!$A$34, Reference!$C$34, IF(N202=Reference!$A$33, Reference!$C$33, 0))))</f>
        <v>0</v>
      </c>
      <c r="AC202" s="16" t="n">
        <f aca="false">(Reference!$B$2*Y202 + Reference!$B$3*AA202 + Reference!$B$4*Z202 + Reference!$B$5 * AB202)/4</f>
        <v>0</v>
      </c>
      <c r="AD202" s="16" t="n">
        <f aca="false">IF(Q202=Reference!$C$41, Reference!$D$41, IF(Q202=Reference!$C$42, Reference!$D$42, IF(Q202=Reference!$C$43, Reference!$D$43, IF(Q202=Reference!$C$44, Reference!$D$44, 0))))</f>
        <v>0</v>
      </c>
      <c r="AE202" s="16" t="n">
        <f aca="false">1 + (AC202 * AD202)</f>
        <v>1</v>
      </c>
    </row>
    <row r="203" customFormat="false" ht="12.75" hidden="false" customHeight="true" outlineLevel="0" collapsed="false">
      <c r="A203" s="24"/>
      <c r="B203" s="15"/>
      <c r="C203" s="15"/>
      <c r="D203" s="25"/>
      <c r="E203" s="25"/>
      <c r="F203" s="15"/>
      <c r="G203" s="15"/>
      <c r="H203" s="15"/>
      <c r="I203" s="15"/>
      <c r="J203" s="15"/>
      <c r="K203" s="15"/>
      <c r="L203" s="15"/>
      <c r="M203" s="15"/>
      <c r="N203" s="15"/>
      <c r="O203" s="15"/>
      <c r="P203" s="22" t="str">
        <f aca="false">IF(AC203&gt;=Reference!$H$2, Reference!$G$2, IF(AC203&gt;=Reference!$H$3, Reference!$G$3, IF(AC203&gt;=Reference!$H$4, Reference!$G$4, IF(AC203&gt;=Reference!$H$5, Reference!$G$5, ""))))</f>
        <v/>
      </c>
      <c r="Q203" s="22" t="str">
        <f aca="false">IF(F203="Physical", "Very Low", IF(F203="Local", "Low", IF(F203="Adjacent", "Medium", IF(F203="Network", "High", ""))))</f>
        <v/>
      </c>
      <c r="R203" s="22" t="str">
        <f aca="false">IF(AE203&gt;=Reference!$D$2, Reference!$G$2, IF(AE203&gt;=Reference!$D$3, Reference!$E$3, IF(AE203&gt;=Reference!$D$4, Reference!$E$4, IF(AE203&gt;=Reference!$D$5, Reference!$E$5, ""))))</f>
        <v>Low</v>
      </c>
      <c r="S203" s="27"/>
      <c r="T203" s="28"/>
      <c r="U203" s="15"/>
      <c r="V203" s="15"/>
      <c r="W203" s="15"/>
      <c r="Y203" s="16" t="n">
        <f aca="false">IF(H203=Reference!$A$12, Reference!$C$12, IF(H203=Reference!$A$11, Reference!$C$11, IF(H203=Reference!$A$10, Reference!$C$10, IF(H203=Reference!$A$9, Reference!$C$9, 0))))</f>
        <v>0</v>
      </c>
      <c r="Z203" s="16" t="n">
        <f aca="false">IF(J203=Reference!$A$20, Reference!$C$20, IF(J203=Reference!$A$19, Reference!$C$19, IF(J203=Reference!$A$18, Reference!$C$18, IF(J203=Reference!$A$17, Reference!$C$17, 0))))</f>
        <v>0</v>
      </c>
      <c r="AA203" s="16" t="n">
        <f aca="false">IF(L203=Reference!$A$28, Reference!$C$28, IF(L203=Reference!$A$27, Reference!$C$27, IF(L203=Reference!$A$26, Reference!$C$26, IF(L203=Reference!$A$25, Reference!$C$25, 0))))</f>
        <v>0</v>
      </c>
      <c r="AB203" s="16" t="n">
        <f aca="false">IF(N203=Reference!$A$36, Reference!$C$36, IF(N203=Reference!$A$35, Reference!$C$35, IF(N203=Reference!$A$34, Reference!$C$34, IF(N203=Reference!$A$33, Reference!$C$33, 0))))</f>
        <v>0</v>
      </c>
      <c r="AC203" s="16" t="n">
        <f aca="false">(Reference!$B$2*Y203 + Reference!$B$3*AA203 + Reference!$B$4*Z203 + Reference!$B$5 * AB203)/4</f>
        <v>0</v>
      </c>
      <c r="AD203" s="16" t="n">
        <f aca="false">IF(Q203=Reference!$C$41, Reference!$D$41, IF(Q203=Reference!$C$42, Reference!$D$42, IF(Q203=Reference!$C$43, Reference!$D$43, IF(Q203=Reference!$C$44, Reference!$D$44, 0))))</f>
        <v>0</v>
      </c>
      <c r="AE203" s="16" t="n">
        <f aca="false">1 + (AC203 * AD203)</f>
        <v>1</v>
      </c>
    </row>
    <row r="204" customFormat="false" ht="12.75" hidden="false" customHeight="true" outlineLevel="0" collapsed="false">
      <c r="A204" s="24"/>
      <c r="B204" s="15"/>
      <c r="C204" s="15"/>
      <c r="D204" s="25"/>
      <c r="E204" s="25"/>
      <c r="F204" s="15"/>
      <c r="G204" s="15"/>
      <c r="H204" s="15"/>
      <c r="I204" s="26"/>
      <c r="J204" s="15"/>
      <c r="K204" s="15"/>
      <c r="L204" s="15"/>
      <c r="M204" s="15"/>
      <c r="N204" s="15"/>
      <c r="O204" s="15"/>
      <c r="P204" s="22" t="str">
        <f aca="false">IF(AC204&gt;=Reference!$H$2, Reference!$G$2, IF(AC204&gt;=Reference!$H$3, Reference!$G$3, IF(AC204&gt;=Reference!$H$4, Reference!$G$4, IF(AC204&gt;=Reference!$H$5, Reference!$G$5, ""))))</f>
        <v/>
      </c>
      <c r="Q204" s="22" t="str">
        <f aca="false">IF(F204="Physical", "Very Low", IF(F204="Local", "Low", IF(F204="Adjacent", "Medium", IF(F204="Network", "High", ""))))</f>
        <v/>
      </c>
      <c r="R204" s="22" t="str">
        <f aca="false">IF(AE204&gt;=Reference!$D$2, Reference!$G$2, IF(AE204&gt;=Reference!$D$3, Reference!$E$3, IF(AE204&gt;=Reference!$D$4, Reference!$E$4, IF(AE204&gt;=Reference!$D$5, Reference!$E$5, ""))))</f>
        <v>Low</v>
      </c>
      <c r="S204" s="27"/>
      <c r="T204" s="28"/>
      <c r="U204" s="15"/>
      <c r="V204" s="34"/>
      <c r="W204" s="15"/>
      <c r="X204" s="23"/>
      <c r="Y204" s="16" t="n">
        <f aca="false">IF(H204=Reference!$A$12, Reference!$C$12, IF(H204=Reference!$A$11, Reference!$C$11, IF(H204=Reference!$A$10, Reference!$C$10, IF(H204=Reference!$A$9, Reference!$C$9, 0))))</f>
        <v>0</v>
      </c>
      <c r="Z204" s="16" t="n">
        <f aca="false">IF(J204=Reference!$A$20, Reference!$C$20, IF(J204=Reference!$A$19, Reference!$C$19, IF(J204=Reference!$A$18, Reference!$C$18, IF(J204=Reference!$A$17, Reference!$C$17, 0))))</f>
        <v>0</v>
      </c>
      <c r="AA204" s="16" t="n">
        <f aca="false">IF(L204=Reference!$A$28, Reference!$C$28, IF(L204=Reference!$A$27, Reference!$C$27, IF(L204=Reference!$A$26, Reference!$C$26, IF(L204=Reference!$A$25, Reference!$C$25, 0))))</f>
        <v>0</v>
      </c>
      <c r="AB204" s="16" t="n">
        <f aca="false">IF(N204=Reference!$A$36, Reference!$C$36, IF(N204=Reference!$A$35, Reference!$C$35, IF(N204=Reference!$A$34, Reference!$C$34, IF(N204=Reference!$A$33, Reference!$C$33, 0))))</f>
        <v>0</v>
      </c>
      <c r="AC204" s="16" t="n">
        <f aca="false">(Reference!$B$2*Y204 + Reference!$B$3*AA204 + Reference!$B$4*Z204 + Reference!$B$5 * AB204)/4</f>
        <v>0</v>
      </c>
      <c r="AD204" s="16" t="n">
        <f aca="false">IF(Q204=Reference!$C$41, Reference!$D$41, IF(Q204=Reference!$C$42, Reference!$D$42, IF(Q204=Reference!$C$43, Reference!$D$43, IF(Q204=Reference!$C$44, Reference!$D$44, 0))))</f>
        <v>0</v>
      </c>
      <c r="AE204" s="16" t="n">
        <f aca="false">1 + (AC204 * AD204)</f>
        <v>1</v>
      </c>
    </row>
    <row r="205" customFormat="false" ht="12.75" hidden="false" customHeight="true" outlineLevel="0" collapsed="false">
      <c r="A205" s="24"/>
      <c r="B205" s="44"/>
      <c r="C205" s="15"/>
      <c r="D205" s="25"/>
      <c r="E205" s="25"/>
      <c r="F205" s="15"/>
      <c r="G205" s="15"/>
      <c r="H205" s="15"/>
      <c r="I205" s="15"/>
      <c r="J205" s="15"/>
      <c r="K205" s="15"/>
      <c r="L205" s="15"/>
      <c r="M205" s="15"/>
      <c r="N205" s="15"/>
      <c r="O205" s="15"/>
      <c r="P205" s="22" t="str">
        <f aca="false">IF(AC205&gt;=Reference!$H$2, Reference!$G$2, IF(AC205&gt;=Reference!$H$3, Reference!$G$3, IF(AC205&gt;=Reference!$H$4, Reference!$G$4, IF(AC205&gt;=Reference!$H$5, Reference!$G$5, ""))))</f>
        <v/>
      </c>
      <c r="Q205" s="22" t="str">
        <f aca="false">IF(F205="Physical", "Very Low", IF(F205="Local", "Low", IF(F205="Adjacent", "Medium", IF(F205="Network", "High", ""))))</f>
        <v/>
      </c>
      <c r="R205" s="22" t="str">
        <f aca="false">IF(AE205&gt;=Reference!$D$2, Reference!$G$2, IF(AE205&gt;=Reference!$D$3, Reference!$E$3, IF(AE205&gt;=Reference!$D$4, Reference!$E$4, IF(AE205&gt;=Reference!$D$5, Reference!$E$5, ""))))</f>
        <v>Low</v>
      </c>
      <c r="S205" s="27"/>
      <c r="T205" s="28"/>
      <c r="U205" s="15"/>
      <c r="V205" s="15"/>
      <c r="W205" s="15"/>
      <c r="Y205" s="16" t="n">
        <f aca="false">IF(H205=Reference!$A$12, Reference!$C$12, IF(H205=Reference!$A$11, Reference!$C$11, IF(H205=Reference!$A$10, Reference!$C$10, IF(H205=Reference!$A$9, Reference!$C$9, 0))))</f>
        <v>0</v>
      </c>
      <c r="Z205" s="16" t="n">
        <f aca="false">IF(J205=Reference!$A$20, Reference!$C$20, IF(J205=Reference!$A$19, Reference!$C$19, IF(J205=Reference!$A$18, Reference!$C$18, IF(J205=Reference!$A$17, Reference!$C$17, 0))))</f>
        <v>0</v>
      </c>
      <c r="AA205" s="16" t="n">
        <f aca="false">IF(L205=Reference!$A$28, Reference!$C$28, IF(L205=Reference!$A$27, Reference!$C$27, IF(L205=Reference!$A$26, Reference!$C$26, IF(L205=Reference!$A$25, Reference!$C$25, 0))))</f>
        <v>0</v>
      </c>
      <c r="AB205" s="16" t="n">
        <f aca="false">IF(N205=Reference!$A$36, Reference!$C$36, IF(N205=Reference!$A$35, Reference!$C$35, IF(N205=Reference!$A$34, Reference!$C$34, IF(N205=Reference!$A$33, Reference!$C$33, 0))))</f>
        <v>0</v>
      </c>
      <c r="AC205" s="16" t="n">
        <f aca="false">(Reference!$B$2*Y205 + Reference!$B$3*AA205 + Reference!$B$4*Z205 + Reference!$B$5 * AB205)/4</f>
        <v>0</v>
      </c>
      <c r="AD205" s="16" t="n">
        <f aca="false">IF(Q205=Reference!$C$41, Reference!$D$41, IF(Q205=Reference!$C$42, Reference!$D$42, IF(Q205=Reference!$C$43, Reference!$D$43, IF(Q205=Reference!$C$44, Reference!$D$44, 0))))</f>
        <v>0</v>
      </c>
      <c r="AE205" s="16" t="n">
        <f aca="false">1 + (AC205 * AD205)</f>
        <v>1</v>
      </c>
    </row>
    <row r="206" customFormat="false" ht="12.75" hidden="false" customHeight="true" outlineLevel="0" collapsed="false">
      <c r="A206" s="24"/>
      <c r="B206" s="44"/>
      <c r="C206" s="15"/>
      <c r="D206" s="25"/>
      <c r="E206" s="25"/>
      <c r="F206" s="15"/>
      <c r="G206" s="25"/>
      <c r="H206" s="15"/>
      <c r="I206" s="15"/>
      <c r="J206" s="15"/>
      <c r="K206" s="26"/>
      <c r="L206" s="15"/>
      <c r="M206" s="15"/>
      <c r="N206" s="15"/>
      <c r="O206" s="15"/>
      <c r="P206" s="22" t="str">
        <f aca="false">IF(AC206&gt;=Reference!$H$2, Reference!$G$2, IF(AC206&gt;=Reference!$H$3, Reference!$G$3, IF(AC206&gt;=Reference!$H$4, Reference!$G$4, IF(AC206&gt;=Reference!$H$5, Reference!$G$5, ""))))</f>
        <v/>
      </c>
      <c r="Q206" s="22" t="str">
        <f aca="false">IF(F206="Physical", "Very Low", IF(F206="Local", "Low", IF(F206="Adjacent", "Medium", IF(F206="Network", "High", ""))))</f>
        <v/>
      </c>
      <c r="R206" s="22" t="str">
        <f aca="false">IF(AE206&gt;=Reference!$D$2, Reference!$G$2, IF(AE206&gt;=Reference!$D$3, Reference!$E$3, IF(AE206&gt;=Reference!$D$4, Reference!$E$4, IF(AE206&gt;=Reference!$D$5, Reference!$E$5, ""))))</f>
        <v>Low</v>
      </c>
      <c r="S206" s="27"/>
      <c r="T206" s="28"/>
      <c r="U206" s="15"/>
      <c r="V206" s="15"/>
      <c r="W206" s="15"/>
      <c r="Y206" s="16" t="n">
        <f aca="false">IF(H206=Reference!$A$12, Reference!$C$12, IF(H206=Reference!$A$11, Reference!$C$11, IF(H206=Reference!$A$10, Reference!$C$10, IF(H206=Reference!$A$9, Reference!$C$9, 0))))</f>
        <v>0</v>
      </c>
      <c r="Z206" s="16" t="n">
        <f aca="false">IF(J206=Reference!$A$20, Reference!$C$20, IF(J206=Reference!$A$19, Reference!$C$19, IF(J206=Reference!$A$18, Reference!$C$18, IF(J206=Reference!$A$17, Reference!$C$17, 0))))</f>
        <v>0</v>
      </c>
      <c r="AA206" s="16" t="n">
        <f aca="false">IF(L206=Reference!$A$28, Reference!$C$28, IF(L206=Reference!$A$27, Reference!$C$27, IF(L206=Reference!$A$26, Reference!$C$26, IF(L206=Reference!$A$25, Reference!$C$25, 0))))</f>
        <v>0</v>
      </c>
      <c r="AB206" s="16" t="n">
        <f aca="false">IF(N206=Reference!$A$36, Reference!$C$36, IF(N206=Reference!$A$35, Reference!$C$35, IF(N206=Reference!$A$34, Reference!$C$34, IF(N206=Reference!$A$33, Reference!$C$33, 0))))</f>
        <v>0</v>
      </c>
      <c r="AC206" s="16" t="n">
        <f aca="false">(Reference!$B$2*Y206 + Reference!$B$3*AA206 + Reference!$B$4*Z206 + Reference!$B$5 * AB206)/4</f>
        <v>0</v>
      </c>
      <c r="AD206" s="16" t="n">
        <f aca="false">IF(Q206=Reference!$C$41, Reference!$D$41, IF(Q206=Reference!$C$42, Reference!$D$42, IF(Q206=Reference!$C$43, Reference!$D$43, IF(Q206=Reference!$C$44, Reference!$D$44, 0))))</f>
        <v>0</v>
      </c>
      <c r="AE206" s="16" t="n">
        <f aca="false">1 + (AC206 * AD206)</f>
        <v>1</v>
      </c>
    </row>
    <row r="207" customFormat="false" ht="12.75" hidden="false" customHeight="true" outlineLevel="0" collapsed="false">
      <c r="A207" s="24"/>
      <c r="B207" s="15"/>
      <c r="C207" s="15"/>
      <c r="D207" s="25"/>
      <c r="E207" s="25"/>
      <c r="F207" s="15"/>
      <c r="G207" s="15"/>
      <c r="H207" s="15"/>
      <c r="I207" s="15"/>
      <c r="J207" s="15"/>
      <c r="K207" s="15"/>
      <c r="L207" s="15"/>
      <c r="M207" s="15"/>
      <c r="N207" s="15"/>
      <c r="O207" s="15"/>
      <c r="P207" s="22" t="str">
        <f aca="false">IF(AC207&gt;=Reference!$H$2, Reference!$G$2, IF(AC207&gt;=Reference!$H$3, Reference!$G$3, IF(AC207&gt;=Reference!$H$4, Reference!$G$4, IF(AC207&gt;=Reference!$H$5, Reference!$G$5, ""))))</f>
        <v/>
      </c>
      <c r="Q207" s="22" t="str">
        <f aca="false">IF(F207="Physical", "Very Low", IF(F207="Local", "Low", IF(F207="Adjacent", "Medium", IF(F207="Network", "High", ""))))</f>
        <v/>
      </c>
      <c r="R207" s="22" t="str">
        <f aca="false">IF(AE207&gt;=Reference!$D$2, Reference!$G$2, IF(AE207&gt;=Reference!$D$3, Reference!$E$3, IF(AE207&gt;=Reference!$D$4, Reference!$E$4, IF(AE207&gt;=Reference!$D$5, Reference!$E$5, ""))))</f>
        <v>Low</v>
      </c>
      <c r="S207" s="27"/>
      <c r="T207" s="28"/>
      <c r="U207" s="15"/>
      <c r="V207" s="15"/>
      <c r="W207" s="15"/>
      <c r="Y207" s="16" t="n">
        <f aca="false">IF(H207=Reference!$A$12, Reference!$C$12, IF(H207=Reference!$A$11, Reference!$C$11, IF(H207=Reference!$A$10, Reference!$C$10, IF(H207=Reference!$A$9, Reference!$C$9, 0))))</f>
        <v>0</v>
      </c>
      <c r="Z207" s="16" t="n">
        <f aca="false">IF(J207=Reference!$A$20, Reference!$C$20, IF(J207=Reference!$A$19, Reference!$C$19, IF(J207=Reference!$A$18, Reference!$C$18, IF(J207=Reference!$A$17, Reference!$C$17, 0))))</f>
        <v>0</v>
      </c>
      <c r="AA207" s="16" t="n">
        <f aca="false">IF(L207=Reference!$A$28, Reference!$C$28, IF(L207=Reference!$A$27, Reference!$C$27, IF(L207=Reference!$A$26, Reference!$C$26, IF(L207=Reference!$A$25, Reference!$C$25, 0))))</f>
        <v>0</v>
      </c>
      <c r="AB207" s="16" t="n">
        <f aca="false">IF(N207=Reference!$A$36, Reference!$C$36, IF(N207=Reference!$A$35, Reference!$C$35, IF(N207=Reference!$A$34, Reference!$C$34, IF(N207=Reference!$A$33, Reference!$C$33, 0))))</f>
        <v>0</v>
      </c>
      <c r="AC207" s="16" t="n">
        <f aca="false">(Reference!$B$2*Y207 + Reference!$B$3*AA207 + Reference!$B$4*Z207 + Reference!$B$5 * AB207)/4</f>
        <v>0</v>
      </c>
      <c r="AD207" s="16" t="n">
        <f aca="false">IF(Q207=Reference!$C$41, Reference!$D$41, IF(Q207=Reference!$C$42, Reference!$D$42, IF(Q207=Reference!$C$43, Reference!$D$43, IF(Q207=Reference!$C$44, Reference!$D$44, 0))))</f>
        <v>0</v>
      </c>
      <c r="AE207" s="16" t="n">
        <f aca="false">1 + (AC207 * AD207)</f>
        <v>1</v>
      </c>
    </row>
    <row r="208" customFormat="false" ht="12.75" hidden="false" customHeight="true" outlineLevel="0" collapsed="false">
      <c r="A208" s="24"/>
      <c r="B208" s="15"/>
      <c r="C208" s="15"/>
      <c r="D208" s="31"/>
      <c r="E208" s="25"/>
      <c r="F208" s="15"/>
      <c r="G208" s="15"/>
      <c r="H208" s="15"/>
      <c r="I208" s="26"/>
      <c r="J208" s="15"/>
      <c r="K208" s="15"/>
      <c r="L208" s="15"/>
      <c r="M208" s="15"/>
      <c r="N208" s="15"/>
      <c r="O208" s="15"/>
      <c r="P208" s="22" t="str">
        <f aca="false">IF(AC208&gt;=Reference!$H$2, Reference!$G$2, IF(AC208&gt;=Reference!$H$3, Reference!$G$3, IF(AC208&gt;=Reference!$H$4, Reference!$G$4, IF(AC208&gt;=Reference!$H$5, Reference!$G$5, ""))))</f>
        <v/>
      </c>
      <c r="Q208" s="22" t="str">
        <f aca="false">IF(F208="Physical", "Very Low", IF(F208="Local", "Low", IF(F208="Adjacent", "Medium", IF(F208="Network", "High", ""))))</f>
        <v/>
      </c>
      <c r="R208" s="22" t="str">
        <f aca="false">IF(AE208&gt;=Reference!$D$2, Reference!$G$2, IF(AE208&gt;=Reference!$D$3, Reference!$E$3, IF(AE208&gt;=Reference!$D$4, Reference!$E$4, IF(AE208&gt;=Reference!$D$5, Reference!$E$5, ""))))</f>
        <v>Low</v>
      </c>
      <c r="S208" s="27"/>
      <c r="T208" s="38"/>
      <c r="U208" s="15"/>
      <c r="V208" s="10"/>
      <c r="W208" s="15"/>
      <c r="Y208" s="16" t="n">
        <f aca="false">IF(H208=Reference!$A$12, Reference!$C$12, IF(H208=Reference!$A$11, Reference!$C$11, IF(H208=Reference!$A$10, Reference!$C$10, IF(H208=Reference!$A$9, Reference!$C$9, 0))))</f>
        <v>0</v>
      </c>
      <c r="Z208" s="16" t="n">
        <f aca="false">IF(J208=Reference!$A$20, Reference!$C$20, IF(J208=Reference!$A$19, Reference!$C$19, IF(J208=Reference!$A$18, Reference!$C$18, IF(J208=Reference!$A$17, Reference!$C$17, 0))))</f>
        <v>0</v>
      </c>
      <c r="AA208" s="16" t="n">
        <f aca="false">IF(L208=Reference!$A$28, Reference!$C$28, IF(L208=Reference!$A$27, Reference!$C$27, IF(L208=Reference!$A$26, Reference!$C$26, IF(L208=Reference!$A$25, Reference!$C$25, 0))))</f>
        <v>0</v>
      </c>
      <c r="AB208" s="16" t="n">
        <f aca="false">IF(N208=Reference!$A$36, Reference!$C$36, IF(N208=Reference!$A$35, Reference!$C$35, IF(N208=Reference!$A$34, Reference!$C$34, IF(N208=Reference!$A$33, Reference!$C$33, 0))))</f>
        <v>0</v>
      </c>
      <c r="AC208" s="16" t="n">
        <f aca="false">(Reference!$B$2*Y208 + Reference!$B$3*AA208 + Reference!$B$4*Z208 + Reference!$B$5 * AB208)/4</f>
        <v>0</v>
      </c>
      <c r="AD208" s="16" t="n">
        <f aca="false">IF(Q208=Reference!$C$41, Reference!$D$41, IF(Q208=Reference!$C$42, Reference!$D$42, IF(Q208=Reference!$C$43, Reference!$D$43, IF(Q208=Reference!$C$44, Reference!$D$44, 0))))</f>
        <v>0</v>
      </c>
      <c r="AE208" s="16" t="n">
        <f aca="false">1 + (AC208 * AD208)</f>
        <v>1</v>
      </c>
    </row>
    <row r="209" customFormat="false" ht="12.75" hidden="false" customHeight="true" outlineLevel="0" collapsed="false">
      <c r="A209" s="24"/>
      <c r="B209" s="15"/>
      <c r="C209" s="15"/>
      <c r="D209" s="25"/>
      <c r="E209" s="25"/>
      <c r="F209" s="15"/>
      <c r="G209" s="15"/>
      <c r="H209" s="15"/>
      <c r="I209" s="15"/>
      <c r="J209" s="15"/>
      <c r="K209" s="15"/>
      <c r="L209" s="15"/>
      <c r="M209" s="15"/>
      <c r="N209" s="15"/>
      <c r="O209" s="15"/>
      <c r="P209" s="22" t="str">
        <f aca="false">IF(AC209&gt;=Reference!$H$2, Reference!$G$2, IF(AC209&gt;=Reference!$H$3, Reference!$G$3, IF(AC209&gt;=Reference!$H$4, Reference!$G$4, IF(AC209&gt;=Reference!$H$5, Reference!$G$5, ""))))</f>
        <v/>
      </c>
      <c r="Q209" s="22" t="str">
        <f aca="false">IF(F209="Physical", "Very Low", IF(F209="Local", "Low", IF(F209="Adjacent", "Medium", IF(F209="Network", "High", ""))))</f>
        <v/>
      </c>
      <c r="R209" s="22" t="str">
        <f aca="false">IF(AE209&gt;=Reference!$D$2, Reference!$G$2, IF(AE209&gt;=Reference!$D$3, Reference!$E$3, IF(AE209&gt;=Reference!$D$4, Reference!$E$4, IF(AE209&gt;=Reference!$D$5, Reference!$E$5, ""))))</f>
        <v>Low</v>
      </c>
      <c r="S209" s="27"/>
      <c r="T209" s="28"/>
      <c r="U209" s="15"/>
      <c r="V209" s="15"/>
      <c r="W209" s="15"/>
      <c r="Y209" s="16" t="n">
        <f aca="false">IF(H209=Reference!$A$12, Reference!$C$12, IF(H209=Reference!$A$11, Reference!$C$11, IF(H209=Reference!$A$10, Reference!$C$10, IF(H209=Reference!$A$9, Reference!$C$9, 0))))</f>
        <v>0</v>
      </c>
      <c r="Z209" s="16" t="n">
        <f aca="false">IF(J209=Reference!$A$20, Reference!$C$20, IF(J209=Reference!$A$19, Reference!$C$19, IF(J209=Reference!$A$18, Reference!$C$18, IF(J209=Reference!$A$17, Reference!$C$17, 0))))</f>
        <v>0</v>
      </c>
      <c r="AA209" s="16" t="n">
        <f aca="false">IF(L209=Reference!$A$28, Reference!$C$28, IF(L209=Reference!$A$27, Reference!$C$27, IF(L209=Reference!$A$26, Reference!$C$26, IF(L209=Reference!$A$25, Reference!$C$25, 0))))</f>
        <v>0</v>
      </c>
      <c r="AB209" s="16" t="n">
        <f aca="false">IF(N209=Reference!$A$36, Reference!$C$36, IF(N209=Reference!$A$35, Reference!$C$35, IF(N209=Reference!$A$34, Reference!$C$34, IF(N209=Reference!$A$33, Reference!$C$33, 0))))</f>
        <v>0</v>
      </c>
      <c r="AC209" s="16" t="n">
        <f aca="false">(Reference!$B$2*Y209 + Reference!$B$3*AA209 + Reference!$B$4*Z209 + Reference!$B$5 * AB209)/4</f>
        <v>0</v>
      </c>
      <c r="AD209" s="16" t="n">
        <f aca="false">IF(Q209=Reference!$C$41, Reference!$D$41, IF(Q209=Reference!$C$42, Reference!$D$42, IF(Q209=Reference!$C$43, Reference!$D$43, IF(Q209=Reference!$C$44, Reference!$D$44, 0))))</f>
        <v>0</v>
      </c>
      <c r="AE209" s="16" t="n">
        <f aca="false">1 + (AC209 * AD209)</f>
        <v>1</v>
      </c>
    </row>
    <row r="210" customFormat="false" ht="12.75" hidden="false" customHeight="true" outlineLevel="0" collapsed="false">
      <c r="A210" s="24"/>
      <c r="B210" s="15"/>
      <c r="C210" s="15"/>
      <c r="D210" s="25"/>
      <c r="E210" s="25"/>
      <c r="F210" s="15"/>
      <c r="G210" s="25"/>
      <c r="H210" s="15"/>
      <c r="I210" s="15"/>
      <c r="J210" s="15"/>
      <c r="K210" s="26"/>
      <c r="L210" s="15"/>
      <c r="M210" s="15"/>
      <c r="N210" s="15"/>
      <c r="O210" s="15"/>
      <c r="P210" s="22" t="str">
        <f aca="false">IF(AC210&gt;=Reference!$H$2, Reference!$G$2, IF(AC210&gt;=Reference!$H$3, Reference!$G$3, IF(AC210&gt;=Reference!$H$4, Reference!$G$4, IF(AC210&gt;=Reference!$H$5, Reference!$G$5, ""))))</f>
        <v/>
      </c>
      <c r="Q210" s="22" t="str">
        <f aca="false">IF(F210="Physical", "Very Low", IF(F210="Local", "Low", IF(F210="Adjacent", "Medium", IF(F210="Network", "High", ""))))</f>
        <v/>
      </c>
      <c r="R210" s="22" t="str">
        <f aca="false">IF(AE210&gt;=Reference!$D$2, Reference!$G$2, IF(AE210&gt;=Reference!$D$3, Reference!$E$3, IF(AE210&gt;=Reference!$D$4, Reference!$E$4, IF(AE210&gt;=Reference!$D$5, Reference!$E$5, ""))))</f>
        <v>Low</v>
      </c>
      <c r="S210" s="27"/>
      <c r="T210" s="28"/>
      <c r="U210" s="15"/>
      <c r="V210" s="15"/>
      <c r="W210" s="15"/>
      <c r="Y210" s="16" t="n">
        <f aca="false">IF(H210=Reference!$A$12, Reference!$C$12, IF(H210=Reference!$A$11, Reference!$C$11, IF(H210=Reference!$A$10, Reference!$C$10, IF(H210=Reference!$A$9, Reference!$C$9, 0))))</f>
        <v>0</v>
      </c>
      <c r="Z210" s="16" t="n">
        <f aca="false">IF(J210=Reference!$A$20, Reference!$C$20, IF(J210=Reference!$A$19, Reference!$C$19, IF(J210=Reference!$A$18, Reference!$C$18, IF(J210=Reference!$A$17, Reference!$C$17, 0))))</f>
        <v>0</v>
      </c>
      <c r="AA210" s="16" t="n">
        <f aca="false">IF(L210=Reference!$A$28, Reference!$C$28, IF(L210=Reference!$A$27, Reference!$C$27, IF(L210=Reference!$A$26, Reference!$C$26, IF(L210=Reference!$A$25, Reference!$C$25, 0))))</f>
        <v>0</v>
      </c>
      <c r="AB210" s="16" t="n">
        <f aca="false">IF(N210=Reference!$A$36, Reference!$C$36, IF(N210=Reference!$A$35, Reference!$C$35, IF(N210=Reference!$A$34, Reference!$C$34, IF(N210=Reference!$A$33, Reference!$C$33, 0))))</f>
        <v>0</v>
      </c>
      <c r="AC210" s="16" t="n">
        <f aca="false">(Reference!$B$2*Y210 + Reference!$B$3*AA210 + Reference!$B$4*Z210 + Reference!$B$5 * AB210)/4</f>
        <v>0</v>
      </c>
      <c r="AD210" s="16" t="n">
        <f aca="false">IF(Q210=Reference!$C$41, Reference!$D$41, IF(Q210=Reference!$C$42, Reference!$D$42, IF(Q210=Reference!$C$43, Reference!$D$43, IF(Q210=Reference!$C$44, Reference!$D$44, 0))))</f>
        <v>0</v>
      </c>
      <c r="AE210" s="16" t="n">
        <f aca="false">1 + (AC210 * AD210)</f>
        <v>1</v>
      </c>
    </row>
    <row r="211" customFormat="false" ht="12.75" hidden="false" customHeight="true" outlineLevel="0" collapsed="false">
      <c r="A211" s="24"/>
      <c r="B211" s="15"/>
      <c r="C211" s="15"/>
      <c r="D211" s="25"/>
      <c r="E211" s="25"/>
      <c r="F211" s="15"/>
      <c r="G211" s="15"/>
      <c r="H211" s="15"/>
      <c r="I211" s="15"/>
      <c r="J211" s="15"/>
      <c r="K211" s="15"/>
      <c r="L211" s="15"/>
      <c r="M211" s="15"/>
      <c r="N211" s="15"/>
      <c r="O211" s="15"/>
      <c r="P211" s="22" t="str">
        <f aca="false">IF(AC211&gt;=Reference!$H$2, Reference!$G$2, IF(AC211&gt;=Reference!$H$3, Reference!$G$3, IF(AC211&gt;=Reference!$H$4, Reference!$G$4, IF(AC211&gt;=Reference!$H$5, Reference!$G$5, ""))))</f>
        <v/>
      </c>
      <c r="Q211" s="22" t="str">
        <f aca="false">IF(F211="Physical", "Very Low", IF(F211="Local", "Low", IF(F211="Adjacent", "Medium", IF(F211="Network", "High", ""))))</f>
        <v/>
      </c>
      <c r="R211" s="22" t="str">
        <f aca="false">IF(AE211&gt;=Reference!$D$2, Reference!$G$2, IF(AE211&gt;=Reference!$D$3, Reference!$E$3, IF(AE211&gt;=Reference!$D$4, Reference!$E$4, IF(AE211&gt;=Reference!$D$5, Reference!$E$5, ""))))</f>
        <v>Low</v>
      </c>
      <c r="S211" s="27"/>
      <c r="T211" s="28"/>
      <c r="U211" s="15"/>
      <c r="V211" s="34"/>
      <c r="W211" s="15"/>
      <c r="X211" s="23"/>
      <c r="Y211" s="16" t="n">
        <f aca="false">IF(H211=Reference!$A$12, Reference!$C$12, IF(H211=Reference!$A$11, Reference!$C$11, IF(H211=Reference!$A$10, Reference!$C$10, IF(H211=Reference!$A$9, Reference!$C$9, 0))))</f>
        <v>0</v>
      </c>
      <c r="Z211" s="16" t="n">
        <f aca="false">IF(J211=Reference!$A$20, Reference!$C$20, IF(J211=Reference!$A$19, Reference!$C$19, IF(J211=Reference!$A$18, Reference!$C$18, IF(J211=Reference!$A$17, Reference!$C$17, 0))))</f>
        <v>0</v>
      </c>
      <c r="AA211" s="16" t="n">
        <f aca="false">IF(L211=Reference!$A$28, Reference!$C$28, IF(L211=Reference!$A$27, Reference!$C$27, IF(L211=Reference!$A$26, Reference!$C$26, IF(L211=Reference!$A$25, Reference!$C$25, 0))))</f>
        <v>0</v>
      </c>
      <c r="AB211" s="16" t="n">
        <f aca="false">IF(N211=Reference!$A$36, Reference!$C$36, IF(N211=Reference!$A$35, Reference!$C$35, IF(N211=Reference!$A$34, Reference!$C$34, IF(N211=Reference!$A$33, Reference!$C$33, 0))))</f>
        <v>0</v>
      </c>
      <c r="AC211" s="16" t="n">
        <f aca="false">(Reference!$B$2*Y211 + Reference!$B$3*AA211 + Reference!$B$4*Z211 + Reference!$B$5 * AB211)/4</f>
        <v>0</v>
      </c>
      <c r="AD211" s="16" t="n">
        <f aca="false">IF(Q211=Reference!$C$41, Reference!$D$41, IF(Q211=Reference!$C$42, Reference!$D$42, IF(Q211=Reference!$C$43, Reference!$D$43, IF(Q211=Reference!$C$44, Reference!$D$44, 0))))</f>
        <v>0</v>
      </c>
      <c r="AE211" s="16" t="n">
        <f aca="false">1 + (AC211 * AD211)</f>
        <v>1</v>
      </c>
    </row>
    <row r="212" customFormat="false" ht="12.75" hidden="false" customHeight="true" outlineLevel="0" collapsed="false">
      <c r="A212" s="24"/>
      <c r="B212" s="15"/>
      <c r="C212" s="15"/>
      <c r="D212" s="25"/>
      <c r="E212" s="25"/>
      <c r="F212" s="15"/>
      <c r="G212" s="15"/>
      <c r="H212" s="15"/>
      <c r="I212" s="15"/>
      <c r="J212" s="15"/>
      <c r="K212" s="15"/>
      <c r="L212" s="15"/>
      <c r="M212" s="15"/>
      <c r="N212" s="15"/>
      <c r="O212" s="15"/>
      <c r="P212" s="22" t="str">
        <f aca="false">IF(AC212&gt;=Reference!$H$2, Reference!$G$2, IF(AC212&gt;=Reference!$H$3, Reference!$G$3, IF(AC212&gt;=Reference!$H$4, Reference!$G$4, IF(AC212&gt;=Reference!$H$5, Reference!$G$5, ""))))</f>
        <v/>
      </c>
      <c r="Q212" s="22" t="str">
        <f aca="false">IF(F212="Physical", "Very Low", IF(F212="Local", "Low", IF(F212="Adjacent", "Medium", IF(F212="Network", "High", ""))))</f>
        <v/>
      </c>
      <c r="R212" s="22" t="str">
        <f aca="false">IF(AE212&gt;=Reference!$D$2, Reference!$G$2, IF(AE212&gt;=Reference!$D$3, Reference!$E$3, IF(AE212&gt;=Reference!$D$4, Reference!$E$4, IF(AE212&gt;=Reference!$D$5, Reference!$E$5, ""))))</f>
        <v>Low</v>
      </c>
      <c r="S212" s="27"/>
      <c r="T212" s="28"/>
      <c r="U212" s="15"/>
      <c r="V212" s="15"/>
      <c r="W212" s="15"/>
      <c r="Y212" s="16" t="n">
        <f aca="false">IF(H212=Reference!$A$12, Reference!$C$12, IF(H212=Reference!$A$11, Reference!$C$11, IF(H212=Reference!$A$10, Reference!$C$10, IF(H212=Reference!$A$9, Reference!$C$9, 0))))</f>
        <v>0</v>
      </c>
      <c r="Z212" s="16" t="n">
        <f aca="false">IF(J212=Reference!$A$20, Reference!$C$20, IF(J212=Reference!$A$19, Reference!$C$19, IF(J212=Reference!$A$18, Reference!$C$18, IF(J212=Reference!$A$17, Reference!$C$17, 0))))</f>
        <v>0</v>
      </c>
      <c r="AA212" s="16" t="n">
        <f aca="false">IF(L212=Reference!$A$28, Reference!$C$28, IF(L212=Reference!$A$27, Reference!$C$27, IF(L212=Reference!$A$26, Reference!$C$26, IF(L212=Reference!$A$25, Reference!$C$25, 0))))</f>
        <v>0</v>
      </c>
      <c r="AB212" s="16" t="n">
        <f aca="false">IF(N212=Reference!$A$36, Reference!$C$36, IF(N212=Reference!$A$35, Reference!$C$35, IF(N212=Reference!$A$34, Reference!$C$34, IF(N212=Reference!$A$33, Reference!$C$33, 0))))</f>
        <v>0</v>
      </c>
      <c r="AC212" s="16" t="n">
        <f aca="false">(Reference!$B$2*Y212 + Reference!$B$3*AA212 + Reference!$B$4*Z212 + Reference!$B$5 * AB212)/4</f>
        <v>0</v>
      </c>
      <c r="AD212" s="16" t="n">
        <f aca="false">IF(Q212=Reference!$C$41, Reference!$D$41, IF(Q212=Reference!$C$42, Reference!$D$42, IF(Q212=Reference!$C$43, Reference!$D$43, IF(Q212=Reference!$C$44, Reference!$D$44, 0))))</f>
        <v>0</v>
      </c>
      <c r="AE212" s="16" t="n">
        <f aca="false">1 + (AC212 * AD212)</f>
        <v>1</v>
      </c>
    </row>
    <row r="213" customFormat="false" ht="12.75" hidden="false" customHeight="true" outlineLevel="0" collapsed="false">
      <c r="A213" s="24"/>
      <c r="B213" s="15"/>
      <c r="C213" s="15"/>
      <c r="D213" s="25"/>
      <c r="E213" s="25"/>
      <c r="F213" s="15"/>
      <c r="G213" s="15"/>
      <c r="H213" s="15"/>
      <c r="I213" s="15"/>
      <c r="J213" s="15"/>
      <c r="K213" s="15"/>
      <c r="L213" s="15"/>
      <c r="M213" s="15"/>
      <c r="N213" s="15"/>
      <c r="O213" s="15"/>
      <c r="P213" s="22" t="str">
        <f aca="false">IF(AC213&gt;=Reference!$H$2, Reference!$G$2, IF(AC213&gt;=Reference!$H$3, Reference!$G$3, IF(AC213&gt;=Reference!$H$4, Reference!$G$4, IF(AC213&gt;=Reference!$H$5, Reference!$G$5, ""))))</f>
        <v/>
      </c>
      <c r="Q213" s="22" t="str">
        <f aca="false">IF(F213="Physical", "Very Low", IF(F213="Local", "Low", IF(F213="Adjacent", "Medium", IF(F213="Network", "High", ""))))</f>
        <v/>
      </c>
      <c r="R213" s="22" t="str">
        <f aca="false">IF(AE213&gt;=Reference!$D$2, Reference!$G$2, IF(AE213&gt;=Reference!$D$3, Reference!$E$3, IF(AE213&gt;=Reference!$D$4, Reference!$E$4, IF(AE213&gt;=Reference!$D$5, Reference!$E$5, ""))))</f>
        <v>Low</v>
      </c>
      <c r="S213" s="27"/>
      <c r="T213" s="28"/>
      <c r="U213" s="15"/>
      <c r="V213" s="15"/>
      <c r="W213" s="15"/>
      <c r="Y213" s="16" t="n">
        <f aca="false">IF(H213=Reference!$A$12, Reference!$C$12, IF(H213=Reference!$A$11, Reference!$C$11, IF(H213=Reference!$A$10, Reference!$C$10, IF(H213=Reference!$A$9, Reference!$C$9, 0))))</f>
        <v>0</v>
      </c>
      <c r="Z213" s="16" t="n">
        <f aca="false">IF(J213=Reference!$A$20, Reference!$C$20, IF(J213=Reference!$A$19, Reference!$C$19, IF(J213=Reference!$A$18, Reference!$C$18, IF(J213=Reference!$A$17, Reference!$C$17, 0))))</f>
        <v>0</v>
      </c>
      <c r="AA213" s="16" t="n">
        <f aca="false">IF(L213=Reference!$A$28, Reference!$C$28, IF(L213=Reference!$A$27, Reference!$C$27, IF(L213=Reference!$A$26, Reference!$C$26, IF(L213=Reference!$A$25, Reference!$C$25, 0))))</f>
        <v>0</v>
      </c>
      <c r="AB213" s="16" t="n">
        <f aca="false">IF(N213=Reference!$A$36, Reference!$C$36, IF(N213=Reference!$A$35, Reference!$C$35, IF(N213=Reference!$A$34, Reference!$C$34, IF(N213=Reference!$A$33, Reference!$C$33, 0))))</f>
        <v>0</v>
      </c>
      <c r="AC213" s="16" t="n">
        <f aca="false">(Reference!$B$2*Y213 + Reference!$B$3*AA213 + Reference!$B$4*Z213 + Reference!$B$5 * AB213)/4</f>
        <v>0</v>
      </c>
      <c r="AD213" s="16" t="n">
        <f aca="false">IF(Q213=Reference!$C$41, Reference!$D$41, IF(Q213=Reference!$C$42, Reference!$D$42, IF(Q213=Reference!$C$43, Reference!$D$43, IF(Q213=Reference!$C$44, Reference!$D$44, 0))))</f>
        <v>0</v>
      </c>
      <c r="AE213" s="16" t="n">
        <f aca="false">1 + (AC213 * AD213)</f>
        <v>1</v>
      </c>
    </row>
    <row r="214" customFormat="false" ht="12.75" hidden="false" customHeight="true" outlineLevel="0" collapsed="false">
      <c r="A214" s="24"/>
      <c r="B214" s="15"/>
      <c r="C214" s="15"/>
      <c r="D214" s="31"/>
      <c r="E214" s="31"/>
      <c r="F214" s="15"/>
      <c r="G214" s="26"/>
      <c r="H214" s="15"/>
      <c r="I214" s="26"/>
      <c r="J214" s="15"/>
      <c r="K214" s="15"/>
      <c r="L214" s="15"/>
      <c r="M214" s="26"/>
      <c r="N214" s="15"/>
      <c r="O214" s="26"/>
      <c r="P214" s="22" t="str">
        <f aca="false">IF(AC214&gt;=Reference!$H$2, Reference!$G$2, IF(AC214&gt;=Reference!$H$3, Reference!$G$3, IF(AC214&gt;=Reference!$H$4, Reference!$G$4, IF(AC214&gt;=Reference!$H$5, Reference!$G$5, ""))))</f>
        <v/>
      </c>
      <c r="Q214" s="22" t="str">
        <f aca="false">IF(F214="Physical", "Very Low", IF(F214="Local", "Low", IF(F214="Adjacent", "Medium", IF(F214="Network", "High", ""))))</f>
        <v/>
      </c>
      <c r="R214" s="22" t="str">
        <f aca="false">IF(AE214&gt;=Reference!$D$2, Reference!$G$2, IF(AE214&gt;=Reference!$D$3, Reference!$E$3, IF(AE214&gt;=Reference!$D$4, Reference!$E$4, IF(AE214&gt;=Reference!$D$5, Reference!$E$5, ""))))</f>
        <v>Low</v>
      </c>
      <c r="S214" s="15"/>
      <c r="T214" s="10"/>
      <c r="U214" s="26"/>
      <c r="V214" s="10"/>
      <c r="W214" s="15"/>
      <c r="Y214" s="16" t="n">
        <f aca="false">IF(H214=Reference!$A$12, Reference!$C$12, IF(H214=Reference!$A$11, Reference!$C$11, IF(H214=Reference!$A$10, Reference!$C$10, IF(H214=Reference!$A$9, Reference!$C$9, 0))))</f>
        <v>0</v>
      </c>
      <c r="Z214" s="16" t="n">
        <f aca="false">IF(J214=Reference!$A$20, Reference!$C$20, IF(J214=Reference!$A$19, Reference!$C$19, IF(J214=Reference!$A$18, Reference!$C$18, IF(J214=Reference!$A$17, Reference!$C$17, 0))))</f>
        <v>0</v>
      </c>
      <c r="AA214" s="16" t="n">
        <f aca="false">IF(L214=Reference!$A$28, Reference!$C$28, IF(L214=Reference!$A$27, Reference!$C$27, IF(L214=Reference!$A$26, Reference!$C$26, IF(L214=Reference!$A$25, Reference!$C$25, 0))))</f>
        <v>0</v>
      </c>
      <c r="AB214" s="16" t="n">
        <f aca="false">IF(N214=Reference!$A$36, Reference!$C$36, IF(N214=Reference!$A$35, Reference!$C$35, IF(N214=Reference!$A$34, Reference!$C$34, IF(N214=Reference!$A$33, Reference!$C$33, 0))))</f>
        <v>0</v>
      </c>
      <c r="AC214" s="16" t="n">
        <f aca="false">(Reference!$B$2*Y214 + Reference!$B$3*AA214 + Reference!$B$4*Z214 + Reference!$B$5 * AB214)/4</f>
        <v>0</v>
      </c>
      <c r="AD214" s="16" t="n">
        <f aca="false">IF(Q214=Reference!$C$41, Reference!$D$41, IF(Q214=Reference!$C$42, Reference!$D$42, IF(Q214=Reference!$C$43, Reference!$D$43, IF(Q214=Reference!$C$44, Reference!$D$44, 0))))</f>
        <v>0</v>
      </c>
      <c r="AE214" s="16" t="n">
        <f aca="false">1 + (AC214 * AD214)</f>
        <v>1</v>
      </c>
    </row>
    <row r="215" customFormat="false" ht="12.75" hidden="false" customHeight="true" outlineLevel="0" collapsed="false">
      <c r="A215" s="24"/>
      <c r="B215" s="15"/>
      <c r="C215" s="15"/>
      <c r="D215" s="25"/>
      <c r="E215" s="25"/>
      <c r="F215" s="15"/>
      <c r="G215" s="15"/>
      <c r="H215" s="15"/>
      <c r="I215" s="15"/>
      <c r="J215" s="15"/>
      <c r="K215" s="15"/>
      <c r="L215" s="15"/>
      <c r="M215" s="15"/>
      <c r="N215" s="15"/>
      <c r="O215" s="15"/>
      <c r="P215" s="22" t="str">
        <f aca="false">IF(AC215&gt;=Reference!$H$2, Reference!$G$2, IF(AC215&gt;=Reference!$H$3, Reference!$G$3, IF(AC215&gt;=Reference!$H$4, Reference!$G$4, IF(AC215&gt;=Reference!$H$5, Reference!$G$5, ""))))</f>
        <v/>
      </c>
      <c r="Q215" s="22" t="str">
        <f aca="false">IF(F215="Physical", "Very Low", IF(F215="Local", "Low", IF(F215="Adjacent", "Medium", IF(F215="Network", "High", ""))))</f>
        <v/>
      </c>
      <c r="R215" s="22" t="str">
        <f aca="false">IF(AE215&gt;=Reference!$D$2, Reference!$G$2, IF(AE215&gt;=Reference!$D$3, Reference!$E$3, IF(AE215&gt;=Reference!$D$4, Reference!$E$4, IF(AE215&gt;=Reference!$D$5, Reference!$E$5, ""))))</f>
        <v>Low</v>
      </c>
      <c r="S215" s="15"/>
      <c r="T215" s="15"/>
      <c r="U215" s="15"/>
      <c r="V215" s="15"/>
      <c r="W215" s="15"/>
      <c r="Y215" s="16" t="n">
        <f aca="false">IF(H215=Reference!$A$12, Reference!$C$12, IF(H215=Reference!$A$11, Reference!$C$11, IF(H215=Reference!$A$10, Reference!$C$10, IF(H215=Reference!$A$9, Reference!$C$9, 0))))</f>
        <v>0</v>
      </c>
      <c r="Z215" s="16" t="n">
        <f aca="false">IF(J215=Reference!$A$20, Reference!$C$20, IF(J215=Reference!$A$19, Reference!$C$19, IF(J215=Reference!$A$18, Reference!$C$18, IF(J215=Reference!$A$17, Reference!$C$17, 0))))</f>
        <v>0</v>
      </c>
      <c r="AA215" s="16" t="n">
        <f aca="false">IF(L215=Reference!$A$28, Reference!$C$28, IF(L215=Reference!$A$27, Reference!$C$27, IF(L215=Reference!$A$26, Reference!$C$26, IF(L215=Reference!$A$25, Reference!$C$25, 0))))</f>
        <v>0</v>
      </c>
      <c r="AB215" s="16" t="n">
        <f aca="false">IF(N215=Reference!$A$36, Reference!$C$36, IF(N215=Reference!$A$35, Reference!$C$35, IF(N215=Reference!$A$34, Reference!$C$34, IF(N215=Reference!$A$33, Reference!$C$33, 0))))</f>
        <v>0</v>
      </c>
      <c r="AC215" s="16" t="n">
        <f aca="false">(Reference!$B$2*Y215 + Reference!$B$3*AA215 + Reference!$B$4*Z215 + Reference!$B$5 * AB215)/4</f>
        <v>0</v>
      </c>
      <c r="AD215" s="16" t="n">
        <f aca="false">IF(Q215=Reference!$C$41, Reference!$D$41, IF(Q215=Reference!$C$42, Reference!$D$42, IF(Q215=Reference!$C$43, Reference!$D$43, IF(Q215=Reference!$C$44, Reference!$D$44, 0))))</f>
        <v>0</v>
      </c>
      <c r="AE215" s="16" t="n">
        <f aca="false">1 + (AC215 * AD215)</f>
        <v>1</v>
      </c>
    </row>
    <row r="216" customFormat="false" ht="12.75" hidden="false" customHeight="true" outlineLevel="0" collapsed="false">
      <c r="A216" s="24"/>
      <c r="B216" s="15"/>
      <c r="C216" s="15"/>
      <c r="D216" s="25"/>
      <c r="E216" s="25"/>
      <c r="F216" s="15"/>
      <c r="G216" s="15"/>
      <c r="H216" s="15"/>
      <c r="I216" s="15"/>
      <c r="J216" s="15"/>
      <c r="K216" s="15"/>
      <c r="L216" s="15"/>
      <c r="M216" s="15"/>
      <c r="N216" s="15"/>
      <c r="O216" s="15"/>
      <c r="P216" s="22" t="str">
        <f aca="false">IF(AC216&gt;=Reference!$H$2, Reference!$G$2, IF(AC216&gt;=Reference!$H$3, Reference!$G$3, IF(AC216&gt;=Reference!$H$4, Reference!$G$4, IF(AC216&gt;=Reference!$H$5, Reference!$G$5, ""))))</f>
        <v/>
      </c>
      <c r="Q216" s="22" t="str">
        <f aca="false">IF(F216="Physical", "Very Low", IF(F216="Local", "Low", IF(F216="Adjacent", "Medium", IF(F216="Network", "High", ""))))</f>
        <v/>
      </c>
      <c r="R216" s="22" t="str">
        <f aca="false">IF(AE216&gt;=Reference!$D$2, Reference!$G$2, IF(AE216&gt;=Reference!$D$3, Reference!$E$3, IF(AE216&gt;=Reference!$D$4, Reference!$E$4, IF(AE216&gt;=Reference!$D$5, Reference!$E$5, ""))))</f>
        <v>Low</v>
      </c>
      <c r="S216" s="15"/>
      <c r="T216" s="26"/>
      <c r="U216" s="15"/>
      <c r="V216" s="15"/>
      <c r="W216" s="15"/>
      <c r="Y216" s="16" t="n">
        <f aca="false">IF(H216=Reference!$A$12, Reference!$C$12, IF(H216=Reference!$A$11, Reference!$C$11, IF(H216=Reference!$A$10, Reference!$C$10, IF(H216=Reference!$A$9, Reference!$C$9, 0))))</f>
        <v>0</v>
      </c>
      <c r="Z216" s="16" t="n">
        <f aca="false">IF(J216=Reference!$A$20, Reference!$C$20, IF(J216=Reference!$A$19, Reference!$C$19, IF(J216=Reference!$A$18, Reference!$C$18, IF(J216=Reference!$A$17, Reference!$C$17, 0))))</f>
        <v>0</v>
      </c>
      <c r="AA216" s="16" t="n">
        <f aca="false">IF(L216=Reference!$A$28, Reference!$C$28, IF(L216=Reference!$A$27, Reference!$C$27, IF(L216=Reference!$A$26, Reference!$C$26, IF(L216=Reference!$A$25, Reference!$C$25, 0))))</f>
        <v>0</v>
      </c>
      <c r="AB216" s="16" t="n">
        <f aca="false">IF(N216=Reference!$A$36, Reference!$C$36, IF(N216=Reference!$A$35, Reference!$C$35, IF(N216=Reference!$A$34, Reference!$C$34, IF(N216=Reference!$A$33, Reference!$C$33, 0))))</f>
        <v>0</v>
      </c>
      <c r="AC216" s="16" t="n">
        <f aca="false">(Reference!$B$2*Y216 + Reference!$B$3*AA216 + Reference!$B$4*Z216 + Reference!$B$5 * AB216)/4</f>
        <v>0</v>
      </c>
      <c r="AD216" s="16" t="n">
        <f aca="false">IF(Q216=Reference!$C$41, Reference!$D$41, IF(Q216=Reference!$C$42, Reference!$D$42, IF(Q216=Reference!$C$43, Reference!$D$43, IF(Q216=Reference!$C$44, Reference!$D$44, 0))))</f>
        <v>0</v>
      </c>
      <c r="AE216" s="16" t="n">
        <f aca="false">1 + (AC216 * AD216)</f>
        <v>1</v>
      </c>
    </row>
    <row r="217" customFormat="false" ht="12.75" hidden="false" customHeight="true" outlineLevel="0" collapsed="false">
      <c r="A217" s="24"/>
      <c r="B217" s="15"/>
      <c r="C217" s="15"/>
      <c r="D217" s="25"/>
      <c r="E217" s="25"/>
      <c r="F217" s="15"/>
      <c r="G217" s="15"/>
      <c r="H217" s="15"/>
      <c r="I217" s="15"/>
      <c r="J217" s="15"/>
      <c r="K217" s="15"/>
      <c r="L217" s="15"/>
      <c r="M217" s="15"/>
      <c r="N217" s="15"/>
      <c r="O217" s="15"/>
      <c r="P217" s="22" t="str">
        <f aca="false">IF(AC217&gt;=Reference!$H$2, Reference!$G$2, IF(AC217&gt;=Reference!$H$3, Reference!$G$3, IF(AC217&gt;=Reference!$H$4, Reference!$G$4, IF(AC217&gt;=Reference!$H$5, Reference!$G$5, ""))))</f>
        <v/>
      </c>
      <c r="Q217" s="22" t="str">
        <f aca="false">IF(F217="Physical", "Very Low", IF(F217="Local", "Low", IF(F217="Adjacent", "Medium", IF(F217="Network", "High", ""))))</f>
        <v/>
      </c>
      <c r="R217" s="22" t="str">
        <f aca="false">IF(AE217&gt;=Reference!$D$2, Reference!$G$2, IF(AE217&gt;=Reference!$D$3, Reference!$E$3, IF(AE217&gt;=Reference!$D$4, Reference!$E$4, IF(AE217&gt;=Reference!$D$5, Reference!$E$5, ""))))</f>
        <v>Low</v>
      </c>
      <c r="S217" s="15"/>
      <c r="T217" s="15"/>
      <c r="U217" s="15"/>
      <c r="V217" s="15"/>
      <c r="W217" s="15"/>
      <c r="Y217" s="16" t="n">
        <f aca="false">IF(H217=Reference!$A$12, Reference!$C$12, IF(H217=Reference!$A$11, Reference!$C$11, IF(H217=Reference!$A$10, Reference!$C$10, IF(H217=Reference!$A$9, Reference!$C$9, 0))))</f>
        <v>0</v>
      </c>
      <c r="Z217" s="16" t="n">
        <f aca="false">IF(J217=Reference!$A$20, Reference!$C$20, IF(J217=Reference!$A$19, Reference!$C$19, IF(J217=Reference!$A$18, Reference!$C$18, IF(J217=Reference!$A$17, Reference!$C$17, 0))))</f>
        <v>0</v>
      </c>
      <c r="AA217" s="16" t="n">
        <f aca="false">IF(L217=Reference!$A$28, Reference!$C$28, IF(L217=Reference!$A$27, Reference!$C$27, IF(L217=Reference!$A$26, Reference!$C$26, IF(L217=Reference!$A$25, Reference!$C$25, 0))))</f>
        <v>0</v>
      </c>
      <c r="AB217" s="16" t="n">
        <f aca="false">IF(N217=Reference!$A$36, Reference!$C$36, IF(N217=Reference!$A$35, Reference!$C$35, IF(N217=Reference!$A$34, Reference!$C$34, IF(N217=Reference!$A$33, Reference!$C$33, 0))))</f>
        <v>0</v>
      </c>
      <c r="AC217" s="16" t="n">
        <f aca="false">(Reference!$B$2*Y217 + Reference!$B$3*AA217 + Reference!$B$4*Z217 + Reference!$B$5 * AB217)/4</f>
        <v>0</v>
      </c>
      <c r="AD217" s="16" t="n">
        <f aca="false">IF(Q217=Reference!$C$41, Reference!$D$41, IF(Q217=Reference!$C$42, Reference!$D$42, IF(Q217=Reference!$C$43, Reference!$D$43, IF(Q217=Reference!$C$44, Reference!$D$44, 0))))</f>
        <v>0</v>
      </c>
      <c r="AE217" s="16" t="n">
        <f aca="false">1 + (AC217 * AD217)</f>
        <v>1</v>
      </c>
    </row>
    <row r="218" customFormat="false" ht="12.75" hidden="false" customHeight="true" outlineLevel="0" collapsed="false">
      <c r="A218" s="24"/>
      <c r="B218" s="15"/>
      <c r="C218" s="15"/>
      <c r="D218" s="25"/>
      <c r="E218" s="25"/>
      <c r="F218" s="15"/>
      <c r="G218" s="15"/>
      <c r="H218" s="15"/>
      <c r="I218" s="15"/>
      <c r="J218" s="15"/>
      <c r="K218" s="15"/>
      <c r="L218" s="15"/>
      <c r="M218" s="15"/>
      <c r="N218" s="15"/>
      <c r="O218" s="15"/>
      <c r="P218" s="22" t="str">
        <f aca="false">IF(AC218&gt;=Reference!$H$2, Reference!$G$2, IF(AC218&gt;=Reference!$H$3, Reference!$G$3, IF(AC218&gt;=Reference!$H$4, Reference!$G$4, IF(AC218&gt;=Reference!$H$5, Reference!$G$5, ""))))</f>
        <v/>
      </c>
      <c r="Q218" s="22" t="str">
        <f aca="false">IF(F218="Physical", "Very Low", IF(F218="Local", "Low", IF(F218="Adjacent", "Medium", IF(F218="Network", "High", ""))))</f>
        <v/>
      </c>
      <c r="R218" s="22" t="str">
        <f aca="false">IF(AE218&gt;=Reference!$D$2, Reference!$G$2, IF(AE218&gt;=Reference!$D$3, Reference!$E$3, IF(AE218&gt;=Reference!$D$4, Reference!$E$4, IF(AE218&gt;=Reference!$D$5, Reference!$E$5, ""))))</f>
        <v>Low</v>
      </c>
      <c r="S218" s="15"/>
      <c r="T218" s="15"/>
      <c r="U218" s="15"/>
      <c r="V218" s="15"/>
      <c r="W218" s="15"/>
      <c r="Y218" s="16" t="n">
        <f aca="false">IF(H218=Reference!$A$12, Reference!$C$12, IF(H218=Reference!$A$11, Reference!$C$11, IF(H218=Reference!$A$10, Reference!$C$10, IF(H218=Reference!$A$9, Reference!$C$9, 0))))</f>
        <v>0</v>
      </c>
      <c r="Z218" s="16" t="n">
        <f aca="false">IF(J218=Reference!$A$20, Reference!$C$20, IF(J218=Reference!$A$19, Reference!$C$19, IF(J218=Reference!$A$18, Reference!$C$18, IF(J218=Reference!$A$17, Reference!$C$17, 0))))</f>
        <v>0</v>
      </c>
      <c r="AA218" s="16" t="n">
        <f aca="false">IF(L218=Reference!$A$28, Reference!$C$28, IF(L218=Reference!$A$27, Reference!$C$27, IF(L218=Reference!$A$26, Reference!$C$26, IF(L218=Reference!$A$25, Reference!$C$25, 0))))</f>
        <v>0</v>
      </c>
      <c r="AB218" s="16" t="n">
        <f aca="false">IF(N218=Reference!$A$36, Reference!$C$36, IF(N218=Reference!$A$35, Reference!$C$35, IF(N218=Reference!$A$34, Reference!$C$34, IF(N218=Reference!$A$33, Reference!$C$33, 0))))</f>
        <v>0</v>
      </c>
      <c r="AC218" s="16" t="n">
        <f aca="false">(Reference!$B$2*Y218 + Reference!$B$3*AA218 + Reference!$B$4*Z218 + Reference!$B$5 * AB218)/4</f>
        <v>0</v>
      </c>
      <c r="AD218" s="16" t="n">
        <f aca="false">IF(Q218=Reference!$C$41, Reference!$D$41, IF(Q218=Reference!$C$42, Reference!$D$42, IF(Q218=Reference!$C$43, Reference!$D$43, IF(Q218=Reference!$C$44, Reference!$D$44, 0))))</f>
        <v>0</v>
      </c>
      <c r="AE218" s="16" t="n">
        <f aca="false">1 + (AC218 * AD218)</f>
        <v>1</v>
      </c>
    </row>
    <row r="219" customFormat="false" ht="24" hidden="false" customHeight="true" outlineLevel="0" collapsed="false">
      <c r="A219" s="24"/>
      <c r="B219" s="15"/>
      <c r="C219" s="15"/>
      <c r="D219" s="30"/>
      <c r="E219" s="25"/>
      <c r="F219" s="15"/>
      <c r="H219" s="15"/>
      <c r="I219" s="15"/>
      <c r="J219" s="15"/>
      <c r="K219" s="15"/>
      <c r="L219" s="15"/>
      <c r="M219" s="15"/>
      <c r="N219" s="15"/>
      <c r="O219" s="15"/>
      <c r="P219" s="22" t="str">
        <f aca="false">IF(AC219&gt;=Reference!$H$2, Reference!$G$2, IF(AC219&gt;=Reference!$H$3, Reference!$G$3, IF(AC219&gt;=Reference!$H$4, Reference!$G$4, IF(AC219&gt;=Reference!$H$5, Reference!$G$5, ""))))</f>
        <v/>
      </c>
      <c r="Q219" s="22" t="str">
        <f aca="false">IF(F219="Physical", "Very Low", IF(F219="Local", "Low", IF(F219="Adjacent", "Medium", IF(F219="Network", "High", ""))))</f>
        <v/>
      </c>
      <c r="R219" s="22" t="str">
        <f aca="false">IF(AE219&gt;=Reference!$D$2, Reference!$G$2, IF(AE219&gt;=Reference!$D$3, Reference!$E$3, IF(AE219&gt;=Reference!$D$4, Reference!$E$4, IF(AE219&gt;=Reference!$D$5, Reference!$E$5, ""))))</f>
        <v>Low</v>
      </c>
      <c r="S219" s="15"/>
      <c r="T219" s="10"/>
      <c r="U219" s="15"/>
      <c r="V219" s="15"/>
      <c r="W219" s="15"/>
      <c r="Y219" s="16" t="n">
        <f aca="false">IF(H219=Reference!$A$12, Reference!$C$12, IF(H219=Reference!$A$11, Reference!$C$11, IF(H219=Reference!$A$10, Reference!$C$10, IF(H219=Reference!$A$9, Reference!$C$9, 0))))</f>
        <v>0</v>
      </c>
      <c r="Z219" s="16" t="n">
        <f aca="false">IF(J219=Reference!$A$20, Reference!$C$20, IF(J219=Reference!$A$19, Reference!$C$19, IF(J219=Reference!$A$18, Reference!$C$18, IF(J219=Reference!$A$17, Reference!$C$17, 0))))</f>
        <v>0</v>
      </c>
      <c r="AA219" s="16" t="n">
        <f aca="false">IF(L219=Reference!$A$28, Reference!$C$28, IF(L219=Reference!$A$27, Reference!$C$27, IF(L219=Reference!$A$26, Reference!$C$26, IF(L219=Reference!$A$25, Reference!$C$25, 0))))</f>
        <v>0</v>
      </c>
      <c r="AB219" s="16" t="n">
        <f aca="false">IF(N219=Reference!$A$36, Reference!$C$36, IF(N219=Reference!$A$35, Reference!$C$35, IF(N219=Reference!$A$34, Reference!$C$34, IF(N219=Reference!$A$33, Reference!$C$33, 0))))</f>
        <v>0</v>
      </c>
      <c r="AC219" s="16" t="n">
        <f aca="false">(Reference!$B$2*Y219 + Reference!$B$3*AA219 + Reference!$B$4*Z219 + Reference!$B$5 * AB219)/4</f>
        <v>0</v>
      </c>
      <c r="AD219" s="16" t="n">
        <f aca="false">IF(Q219=Reference!$C$41, Reference!$D$41, IF(Q219=Reference!$C$42, Reference!$D$42, IF(Q219=Reference!$C$43, Reference!$D$43, IF(Q219=Reference!$C$44, Reference!$D$44, 0))))</f>
        <v>0</v>
      </c>
      <c r="AE219" s="16" t="n">
        <f aca="false">1 + (AC219 * AD219)</f>
        <v>1</v>
      </c>
    </row>
    <row r="220" customFormat="false" ht="12.75" hidden="false" customHeight="true" outlineLevel="0" collapsed="false">
      <c r="A220" s="24"/>
      <c r="B220" s="15"/>
      <c r="C220" s="15"/>
      <c r="D220" s="31"/>
      <c r="E220" s="31"/>
      <c r="F220" s="15"/>
      <c r="G220" s="40"/>
      <c r="H220" s="15"/>
      <c r="I220" s="40"/>
      <c r="J220" s="15"/>
      <c r="K220" s="15"/>
      <c r="L220" s="15"/>
      <c r="M220" s="26"/>
      <c r="N220" s="15"/>
      <c r="O220" s="15"/>
      <c r="P220" s="22" t="str">
        <f aca="false">IF(AC220&gt;=Reference!$H$2, Reference!$G$2, IF(AC220&gt;=Reference!$H$3, Reference!$G$3, IF(AC220&gt;=Reference!$H$4, Reference!$G$4, IF(AC220&gt;=Reference!$H$5, Reference!$G$5, ""))))</f>
        <v/>
      </c>
      <c r="Q220" s="22" t="str">
        <f aca="false">IF(F220="Physical", "Very Low", IF(F220="Local", "Low", IF(F220="Adjacent", "Medium", IF(F220="Network", "High", ""))))</f>
        <v/>
      </c>
      <c r="R220" s="22" t="str">
        <f aca="false">IF(AE220&gt;=Reference!$D$2, Reference!$G$2, IF(AE220&gt;=Reference!$D$3, Reference!$E$3, IF(AE220&gt;=Reference!$D$4, Reference!$E$4, IF(AE220&gt;=Reference!$D$5, Reference!$E$5, ""))))</f>
        <v>Low</v>
      </c>
      <c r="S220" s="15"/>
      <c r="T220" s="10"/>
      <c r="U220" s="15"/>
      <c r="V220" s="26"/>
      <c r="W220" s="15"/>
      <c r="Y220" s="16" t="n">
        <f aca="false">IF(H220=Reference!$A$12, Reference!$C$12, IF(H220=Reference!$A$11, Reference!$C$11, IF(H220=Reference!$A$10, Reference!$C$10, IF(H220=Reference!$A$9, Reference!$C$9, 0))))</f>
        <v>0</v>
      </c>
      <c r="Z220" s="16" t="n">
        <f aca="false">IF(J220=Reference!$A$20, Reference!$C$20, IF(J220=Reference!$A$19, Reference!$C$19, IF(J220=Reference!$A$18, Reference!$C$18, IF(J220=Reference!$A$17, Reference!$C$17, 0))))</f>
        <v>0</v>
      </c>
      <c r="AA220" s="16" t="n">
        <f aca="false">IF(L220=Reference!$A$28, Reference!$C$28, IF(L220=Reference!$A$27, Reference!$C$27, IF(L220=Reference!$A$26, Reference!$C$26, IF(L220=Reference!$A$25, Reference!$C$25, 0))))</f>
        <v>0</v>
      </c>
      <c r="AB220" s="16" t="n">
        <f aca="false">IF(N220=Reference!$A$36, Reference!$C$36, IF(N220=Reference!$A$35, Reference!$C$35, IF(N220=Reference!$A$34, Reference!$C$34, IF(N220=Reference!$A$33, Reference!$C$33, 0))))</f>
        <v>0</v>
      </c>
      <c r="AC220" s="16" t="n">
        <f aca="false">(Reference!$B$2*Y220 + Reference!$B$3*AA220 + Reference!$B$4*Z220 + Reference!$B$5 * AB220)/4</f>
        <v>0</v>
      </c>
      <c r="AD220" s="16" t="n">
        <f aca="false">IF(Q220=Reference!$C$41, Reference!$D$41, IF(Q220=Reference!$C$42, Reference!$D$42, IF(Q220=Reference!$C$43, Reference!$D$43, IF(Q220=Reference!$C$44, Reference!$D$44, 0))))</f>
        <v>0</v>
      </c>
      <c r="AE220" s="16" t="n">
        <f aca="false">1 + (AC220 * AD220)</f>
        <v>1</v>
      </c>
    </row>
    <row r="221" customFormat="false" ht="15" hidden="false" customHeight="true" outlineLevel="0" collapsed="false">
      <c r="A221" s="24"/>
      <c r="B221" s="15"/>
      <c r="C221" s="15"/>
      <c r="D221" s="25"/>
      <c r="E221" s="25"/>
      <c r="F221" s="15"/>
      <c r="G221" s="10"/>
      <c r="H221" s="15"/>
      <c r="I221" s="10"/>
      <c r="J221" s="15"/>
      <c r="K221" s="15"/>
      <c r="L221" s="15"/>
      <c r="M221" s="15"/>
      <c r="N221" s="15"/>
      <c r="O221" s="15"/>
      <c r="P221" s="22" t="str">
        <f aca="false">IF(AC221&gt;=Reference!$H$2, Reference!$G$2, IF(AC221&gt;=Reference!$H$3, Reference!$G$3, IF(AC221&gt;=Reference!$H$4, Reference!$G$4, IF(AC221&gt;=Reference!$H$5, Reference!$G$5, ""))))</f>
        <v/>
      </c>
      <c r="Q221" s="22" t="str">
        <f aca="false">IF(F221="Physical", "Very Low", IF(F221="Local", "Low", IF(F221="Adjacent", "Medium", IF(F221="Network", "High", ""))))</f>
        <v/>
      </c>
      <c r="R221" s="22" t="str">
        <f aca="false">IF(AE221&gt;=Reference!$D$2, Reference!$G$2, IF(AE221&gt;=Reference!$D$3, Reference!$E$3, IF(AE221&gt;=Reference!$D$4, Reference!$E$4, IF(AE221&gt;=Reference!$D$5, Reference!$E$5, ""))))</f>
        <v>Low</v>
      </c>
      <c r="S221" s="15"/>
      <c r="T221" s="15"/>
      <c r="U221" s="15"/>
      <c r="V221" s="45"/>
      <c r="W221" s="15"/>
      <c r="Y221" s="16" t="n">
        <f aca="false">IF(H221=Reference!$A$12, Reference!$C$12, IF(H221=Reference!$A$11, Reference!$C$11, IF(H221=Reference!$A$10, Reference!$C$10, IF(H221=Reference!$A$9, Reference!$C$9, 0))))</f>
        <v>0</v>
      </c>
      <c r="Z221" s="16" t="n">
        <f aca="false">IF(J221=Reference!$A$20, Reference!$C$20, IF(J221=Reference!$A$19, Reference!$C$19, IF(J221=Reference!$A$18, Reference!$C$18, IF(J221=Reference!$A$17, Reference!$C$17, 0))))</f>
        <v>0</v>
      </c>
      <c r="AA221" s="16" t="n">
        <f aca="false">IF(L221=Reference!$A$28, Reference!$C$28, IF(L221=Reference!$A$27, Reference!$C$27, IF(L221=Reference!$A$26, Reference!$C$26, IF(L221=Reference!$A$25, Reference!$C$25, 0))))</f>
        <v>0</v>
      </c>
      <c r="AB221" s="16" t="n">
        <f aca="false">IF(N221=Reference!$A$36, Reference!$C$36, IF(N221=Reference!$A$35, Reference!$C$35, IF(N221=Reference!$A$34, Reference!$C$34, IF(N221=Reference!$A$33, Reference!$C$33, 0))))</f>
        <v>0</v>
      </c>
      <c r="AC221" s="16" t="n">
        <f aca="false">(Reference!$B$2*Y221 + Reference!$B$3*AA221 + Reference!$B$4*Z221 + Reference!$B$5 * AB221)/4</f>
        <v>0</v>
      </c>
      <c r="AD221" s="16" t="n">
        <f aca="false">IF(Q221=Reference!$C$41, Reference!$D$41, IF(Q221=Reference!$C$42, Reference!$D$42, IF(Q221=Reference!$C$43, Reference!$D$43, IF(Q221=Reference!$C$44, Reference!$D$44, 0))))</f>
        <v>0</v>
      </c>
      <c r="AE221" s="16" t="n">
        <f aca="false">1 + (AC221 * AD221)</f>
        <v>1</v>
      </c>
    </row>
    <row r="222" customFormat="false" ht="15" hidden="false" customHeight="true" outlineLevel="0" collapsed="false">
      <c r="A222" s="24"/>
      <c r="B222" s="15"/>
      <c r="C222" s="15"/>
      <c r="D222" s="25"/>
      <c r="E222" s="11"/>
      <c r="F222" s="15"/>
      <c r="G222" s="10"/>
      <c r="H222" s="15"/>
      <c r="I222" s="10"/>
      <c r="J222" s="15"/>
      <c r="K222" s="15"/>
      <c r="L222" s="15"/>
      <c r="M222" s="15"/>
      <c r="N222" s="15"/>
      <c r="O222" s="15"/>
      <c r="P222" s="22" t="str">
        <f aca="false">IF(AC222&gt;=Reference!$H$2, Reference!$G$2, IF(AC222&gt;=Reference!$H$3, Reference!$G$3, IF(AC222&gt;=Reference!$H$4, Reference!$G$4, IF(AC222&gt;=Reference!$H$5, Reference!$G$5, ""))))</f>
        <v/>
      </c>
      <c r="Q222" s="22" t="str">
        <f aca="false">IF(F222="Physical", "Very Low", IF(F222="Local", "Low", IF(F222="Adjacent", "Medium", IF(F222="Network", "High", ""))))</f>
        <v/>
      </c>
      <c r="R222" s="22" t="str">
        <f aca="false">IF(AE222&gt;=Reference!$D$2, Reference!$G$2, IF(AE222&gt;=Reference!$D$3, Reference!$E$3, IF(AE222&gt;=Reference!$D$4, Reference!$E$4, IF(AE222&gt;=Reference!$D$5, Reference!$E$5, ""))))</f>
        <v>Low</v>
      </c>
      <c r="S222" s="15"/>
      <c r="T222" s="15"/>
      <c r="U222" s="15"/>
      <c r="V222" s="45"/>
      <c r="W222" s="15"/>
      <c r="Y222" s="16" t="n">
        <f aca="false">IF(H222=Reference!$A$12, Reference!$C$12, IF(H222=Reference!$A$11, Reference!$C$11, IF(H222=Reference!$A$10, Reference!$C$10, IF(H222=Reference!$A$9, Reference!$C$9, 0))))</f>
        <v>0</v>
      </c>
      <c r="Z222" s="16" t="n">
        <f aca="false">IF(J222=Reference!$A$20, Reference!$C$20, IF(J222=Reference!$A$19, Reference!$C$19, IF(J222=Reference!$A$18, Reference!$C$18, IF(J222=Reference!$A$17, Reference!$C$17, 0))))</f>
        <v>0</v>
      </c>
      <c r="AA222" s="16" t="n">
        <f aca="false">IF(L222=Reference!$A$28, Reference!$C$28, IF(L222=Reference!$A$27, Reference!$C$27, IF(L222=Reference!$A$26, Reference!$C$26, IF(L222=Reference!$A$25, Reference!$C$25, 0))))</f>
        <v>0</v>
      </c>
      <c r="AB222" s="16" t="n">
        <f aca="false">IF(N222=Reference!$A$36, Reference!$C$36, IF(N222=Reference!$A$35, Reference!$C$35, IF(N222=Reference!$A$34, Reference!$C$34, IF(N222=Reference!$A$33, Reference!$C$33, 0))))</f>
        <v>0</v>
      </c>
      <c r="AC222" s="16" t="n">
        <f aca="false">(Reference!$B$2*Y222 + Reference!$B$3*AA222 + Reference!$B$4*Z222 + Reference!$B$5 * AB222)/4</f>
        <v>0</v>
      </c>
      <c r="AD222" s="16" t="n">
        <f aca="false">IF(Q222=Reference!$C$41, Reference!$D$41, IF(Q222=Reference!$C$42, Reference!$D$42, IF(Q222=Reference!$C$43, Reference!$D$43, IF(Q222=Reference!$C$44, Reference!$D$44, 0))))</f>
        <v>0</v>
      </c>
      <c r="AE222" s="16" t="n">
        <f aca="false">1 + (AC222 * AD222)</f>
        <v>1</v>
      </c>
    </row>
    <row r="223" customFormat="false" ht="12.75" hidden="false" customHeight="true" outlineLevel="0" collapsed="false">
      <c r="A223" s="24"/>
      <c r="B223" s="15"/>
      <c r="C223" s="15"/>
      <c r="D223" s="46"/>
      <c r="E223" s="25"/>
      <c r="F223" s="15"/>
      <c r="G223" s="10"/>
      <c r="H223" s="15"/>
      <c r="I223" s="10"/>
      <c r="J223" s="15"/>
      <c r="K223" s="15"/>
      <c r="L223" s="15"/>
      <c r="M223" s="15"/>
      <c r="N223" s="15"/>
      <c r="O223" s="15"/>
      <c r="P223" s="22" t="str">
        <f aca="false">IF(AC223&gt;=Reference!$H$2, Reference!$G$2, IF(AC223&gt;=Reference!$H$3, Reference!$G$3, IF(AC223&gt;=Reference!$H$4, Reference!$G$4, IF(AC223&gt;=Reference!$H$5, Reference!$G$5, ""))))</f>
        <v/>
      </c>
      <c r="Q223" s="22" t="str">
        <f aca="false">IF(F223="Physical", "Very Low", IF(F223="Local", "Low", IF(F223="Adjacent", "Medium", IF(F223="Network", "High", ""))))</f>
        <v/>
      </c>
      <c r="R223" s="22" t="str">
        <f aca="false">IF(AE223&gt;=Reference!$D$2, Reference!$G$2, IF(AE223&gt;=Reference!$D$3, Reference!$E$3, IF(AE223&gt;=Reference!$D$4, Reference!$E$4, IF(AE223&gt;=Reference!$D$5, Reference!$E$5, ""))))</f>
        <v>Low</v>
      </c>
      <c r="S223" s="15"/>
      <c r="T223" s="15"/>
      <c r="U223" s="15"/>
      <c r="V223" s="15"/>
      <c r="W223" s="15"/>
      <c r="Y223" s="16" t="n">
        <f aca="false">IF(H223=Reference!$A$12, Reference!$C$12, IF(H223=Reference!$A$11, Reference!$C$11, IF(H223=Reference!$A$10, Reference!$C$10, IF(H223=Reference!$A$9, Reference!$C$9, 0))))</f>
        <v>0</v>
      </c>
      <c r="Z223" s="16" t="n">
        <f aca="false">IF(J223=Reference!$A$20, Reference!$C$20, IF(J223=Reference!$A$19, Reference!$C$19, IF(J223=Reference!$A$18, Reference!$C$18, IF(J223=Reference!$A$17, Reference!$C$17, 0))))</f>
        <v>0</v>
      </c>
      <c r="AA223" s="16" t="n">
        <f aca="false">IF(L223=Reference!$A$28, Reference!$C$28, IF(L223=Reference!$A$27, Reference!$C$27, IF(L223=Reference!$A$26, Reference!$C$26, IF(L223=Reference!$A$25, Reference!$C$25, 0))))</f>
        <v>0</v>
      </c>
      <c r="AB223" s="16" t="n">
        <f aca="false">IF(N223=Reference!$A$36, Reference!$C$36, IF(N223=Reference!$A$35, Reference!$C$35, IF(N223=Reference!$A$34, Reference!$C$34, IF(N223=Reference!$A$33, Reference!$C$33, 0))))</f>
        <v>0</v>
      </c>
      <c r="AC223" s="16" t="n">
        <f aca="false">(Reference!$B$2*Y223 + Reference!$B$3*AA223 + Reference!$B$4*Z223 + Reference!$B$5 * AB223)/4</f>
        <v>0</v>
      </c>
      <c r="AD223" s="16" t="n">
        <f aca="false">IF(Q223=Reference!$C$41, Reference!$D$41, IF(Q223=Reference!$C$42, Reference!$D$42, IF(Q223=Reference!$C$43, Reference!$D$43, IF(Q223=Reference!$C$44, Reference!$D$44, 0))))</f>
        <v>0</v>
      </c>
      <c r="AE223" s="16" t="n">
        <f aca="false">1 + (AC223 * AD223)</f>
        <v>1</v>
      </c>
    </row>
    <row r="224" customFormat="false" ht="12.75" hidden="false" customHeight="true" outlineLevel="0" collapsed="false">
      <c r="A224" s="24"/>
      <c r="B224" s="15"/>
      <c r="C224" s="27"/>
      <c r="D224" s="47"/>
      <c r="E224" s="25"/>
      <c r="F224" s="15"/>
      <c r="G224" s="10"/>
      <c r="H224" s="15"/>
      <c r="I224" s="10"/>
      <c r="J224" s="15"/>
      <c r="K224" s="15"/>
      <c r="L224" s="15"/>
      <c r="M224" s="15"/>
      <c r="N224" s="15"/>
      <c r="O224" s="15"/>
      <c r="P224" s="22" t="str">
        <f aca="false">IF(AC224&gt;=Reference!$H$2, Reference!$G$2, IF(AC224&gt;=Reference!$H$3, Reference!$G$3, IF(AC224&gt;=Reference!$H$4, Reference!$G$4, IF(AC224&gt;=Reference!$H$5, Reference!$G$5, ""))))</f>
        <v/>
      </c>
      <c r="Q224" s="22" t="str">
        <f aca="false">IF(F224="Physical", "Very Low", IF(F224="Local", "Low", IF(F224="Adjacent", "Medium", IF(F224="Network", "High", ""))))</f>
        <v/>
      </c>
      <c r="R224" s="22" t="str">
        <f aca="false">IF(AE224&gt;=Reference!$D$2, Reference!$G$2, IF(AE224&gt;=Reference!$D$3, Reference!$E$3, IF(AE224&gt;=Reference!$D$4, Reference!$E$4, IF(AE224&gt;=Reference!$D$5, Reference!$E$5, ""))))</f>
        <v>Low</v>
      </c>
      <c r="S224" s="15"/>
      <c r="T224" s="15"/>
      <c r="U224" s="15"/>
      <c r="V224" s="15"/>
      <c r="W224" s="15"/>
      <c r="Y224" s="16" t="n">
        <f aca="false">IF(H224=Reference!$A$12, Reference!$C$12, IF(H224=Reference!$A$11, Reference!$C$11, IF(H224=Reference!$A$10, Reference!$C$10, IF(H224=Reference!$A$9, Reference!$C$9, 0))))</f>
        <v>0</v>
      </c>
      <c r="Z224" s="16" t="n">
        <f aca="false">IF(J224=Reference!$A$20, Reference!$C$20, IF(J224=Reference!$A$19, Reference!$C$19, IF(J224=Reference!$A$18, Reference!$C$18, IF(J224=Reference!$A$17, Reference!$C$17, 0))))</f>
        <v>0</v>
      </c>
      <c r="AA224" s="16" t="n">
        <f aca="false">IF(L224=Reference!$A$28, Reference!$C$28, IF(L224=Reference!$A$27, Reference!$C$27, IF(L224=Reference!$A$26, Reference!$C$26, IF(L224=Reference!$A$25, Reference!$C$25, 0))))</f>
        <v>0</v>
      </c>
      <c r="AB224" s="16" t="n">
        <f aca="false">IF(N224=Reference!$A$36, Reference!$C$36, IF(N224=Reference!$A$35, Reference!$C$35, IF(N224=Reference!$A$34, Reference!$C$34, IF(N224=Reference!$A$33, Reference!$C$33, 0))))</f>
        <v>0</v>
      </c>
      <c r="AC224" s="16" t="n">
        <f aca="false">(Reference!$B$2*Y224 + Reference!$B$3*AA224 + Reference!$B$4*Z224 + Reference!$B$5 * AB224)/4</f>
        <v>0</v>
      </c>
      <c r="AD224" s="16" t="n">
        <f aca="false">IF(Q224=Reference!$C$41, Reference!$D$41, IF(Q224=Reference!$C$42, Reference!$D$42, IF(Q224=Reference!$C$43, Reference!$D$43, IF(Q224=Reference!$C$44, Reference!$D$44, 0))))</f>
        <v>0</v>
      </c>
      <c r="AE224" s="16" t="n">
        <f aca="false">1 + (AC224 * AD224)</f>
        <v>1</v>
      </c>
    </row>
    <row r="225" customFormat="false" ht="12.75" hidden="false" customHeight="true" outlineLevel="0" collapsed="false">
      <c r="A225" s="48"/>
      <c r="D225" s="49"/>
      <c r="E225" s="49"/>
    </row>
    <row r="226" customFormat="false" ht="12.75" hidden="false" customHeight="true" outlineLevel="0" collapsed="false">
      <c r="A226" s="48"/>
      <c r="D226" s="49"/>
      <c r="E226" s="49"/>
    </row>
    <row r="227" customFormat="false" ht="12.75" hidden="false" customHeight="true" outlineLevel="0" collapsed="false">
      <c r="A227" s="48"/>
      <c r="D227" s="49"/>
      <c r="E227" s="49"/>
    </row>
    <row r="228" customFormat="false" ht="12.75" hidden="false" customHeight="true" outlineLevel="0" collapsed="false">
      <c r="A228" s="48"/>
      <c r="D228" s="49"/>
      <c r="E228" s="49"/>
    </row>
    <row r="229" customFormat="false" ht="12.75" hidden="false" customHeight="true" outlineLevel="0" collapsed="false">
      <c r="A229" s="48"/>
      <c r="D229" s="49"/>
      <c r="E229" s="49"/>
    </row>
    <row r="230" customFormat="false" ht="12.75" hidden="false" customHeight="true" outlineLevel="0" collapsed="false">
      <c r="A230" s="48"/>
      <c r="D230" s="49"/>
      <c r="E230" s="49"/>
    </row>
    <row r="231" customFormat="false" ht="12.75" hidden="false" customHeight="true" outlineLevel="0" collapsed="false">
      <c r="A231" s="48"/>
      <c r="D231" s="49"/>
      <c r="E231" s="49"/>
    </row>
    <row r="232" customFormat="false" ht="12.75" hidden="false" customHeight="true" outlineLevel="0" collapsed="false">
      <c r="A232" s="48"/>
      <c r="D232" s="49"/>
      <c r="E232" s="49"/>
    </row>
    <row r="233" customFormat="false" ht="12.75" hidden="false" customHeight="true" outlineLevel="0" collapsed="false">
      <c r="A233" s="48"/>
      <c r="D233" s="49"/>
      <c r="E233" s="49"/>
    </row>
    <row r="234" customFormat="false" ht="12.75" hidden="false" customHeight="true" outlineLevel="0" collapsed="false">
      <c r="A234" s="48"/>
      <c r="D234" s="49"/>
      <c r="E234" s="49"/>
    </row>
    <row r="235" customFormat="false" ht="12.75" hidden="false" customHeight="true" outlineLevel="0" collapsed="false">
      <c r="A235" s="48"/>
      <c r="D235" s="49"/>
      <c r="E235" s="49"/>
    </row>
    <row r="236" customFormat="false" ht="12.75" hidden="false" customHeight="true" outlineLevel="0" collapsed="false">
      <c r="A236" s="48"/>
      <c r="D236" s="49"/>
      <c r="E236" s="49"/>
    </row>
    <row r="237" customFormat="false" ht="12.75" hidden="false" customHeight="true" outlineLevel="0" collapsed="false">
      <c r="A237" s="48"/>
      <c r="D237" s="49"/>
      <c r="E237" s="49"/>
    </row>
    <row r="238" customFormat="false" ht="12.75" hidden="false" customHeight="true" outlineLevel="0" collapsed="false">
      <c r="A238" s="48"/>
      <c r="D238" s="49"/>
      <c r="E238" s="49"/>
    </row>
    <row r="239" customFormat="false" ht="12.75" hidden="false" customHeight="true" outlineLevel="0" collapsed="false">
      <c r="A239" s="48"/>
      <c r="D239" s="49"/>
      <c r="E239" s="49"/>
    </row>
    <row r="240" customFormat="false" ht="12.75" hidden="false" customHeight="true" outlineLevel="0" collapsed="false">
      <c r="A240" s="48"/>
      <c r="D240" s="49"/>
      <c r="E240" s="49"/>
    </row>
    <row r="241" customFormat="false" ht="12.75" hidden="false" customHeight="true" outlineLevel="0" collapsed="false">
      <c r="A241" s="48"/>
      <c r="D241" s="49"/>
      <c r="E241" s="49"/>
    </row>
    <row r="242" customFormat="false" ht="12.75" hidden="false" customHeight="true" outlineLevel="0" collapsed="false">
      <c r="A242" s="48"/>
      <c r="D242" s="49"/>
      <c r="E242" s="49"/>
    </row>
    <row r="243" customFormat="false" ht="12.75" hidden="false" customHeight="true" outlineLevel="0" collapsed="false">
      <c r="A243" s="48"/>
      <c r="D243" s="49"/>
      <c r="E243" s="49"/>
    </row>
    <row r="244" customFormat="false" ht="12.75" hidden="false" customHeight="true" outlineLevel="0" collapsed="false">
      <c r="A244" s="48"/>
      <c r="D244" s="49"/>
      <c r="E244" s="49"/>
    </row>
    <row r="245" customFormat="false" ht="12.75" hidden="false" customHeight="true" outlineLevel="0" collapsed="false">
      <c r="A245" s="48"/>
      <c r="D245" s="49"/>
      <c r="E245" s="49"/>
    </row>
    <row r="246" customFormat="false" ht="12.75" hidden="false" customHeight="true" outlineLevel="0" collapsed="false">
      <c r="A246" s="48"/>
      <c r="D246" s="49"/>
      <c r="E246" s="49"/>
    </row>
    <row r="247" customFormat="false" ht="12.75" hidden="false" customHeight="true" outlineLevel="0" collapsed="false">
      <c r="A247" s="48"/>
      <c r="D247" s="49"/>
      <c r="E247" s="49"/>
    </row>
    <row r="248" customFormat="false" ht="12.75" hidden="false" customHeight="true" outlineLevel="0" collapsed="false">
      <c r="A248" s="48"/>
      <c r="D248" s="49"/>
      <c r="E248" s="49"/>
    </row>
    <row r="249" customFormat="false" ht="12.75" hidden="false" customHeight="true" outlineLevel="0" collapsed="false">
      <c r="A249" s="48"/>
      <c r="D249" s="49"/>
      <c r="E249" s="49"/>
    </row>
    <row r="250" customFormat="false" ht="12.75" hidden="false" customHeight="true" outlineLevel="0" collapsed="false">
      <c r="A250" s="48"/>
      <c r="D250" s="49"/>
      <c r="E250" s="49"/>
    </row>
    <row r="251" customFormat="false" ht="12.75" hidden="false" customHeight="true" outlineLevel="0" collapsed="false">
      <c r="A251" s="48"/>
      <c r="D251" s="49"/>
      <c r="E251" s="49"/>
    </row>
    <row r="252" customFormat="false" ht="12.75" hidden="false" customHeight="true" outlineLevel="0" collapsed="false">
      <c r="A252" s="48"/>
      <c r="D252" s="49"/>
      <c r="E252" s="49"/>
    </row>
    <row r="253" customFormat="false" ht="12.75" hidden="false" customHeight="true" outlineLevel="0" collapsed="false">
      <c r="A253" s="48"/>
      <c r="D253" s="49"/>
      <c r="E253" s="49"/>
    </row>
    <row r="254" customFormat="false" ht="12.75" hidden="false" customHeight="true" outlineLevel="0" collapsed="false">
      <c r="A254" s="48"/>
      <c r="D254" s="49"/>
      <c r="E254" s="49"/>
    </row>
    <row r="255" customFormat="false" ht="12.75" hidden="false" customHeight="true" outlineLevel="0" collapsed="false">
      <c r="A255" s="48"/>
      <c r="D255" s="49"/>
      <c r="E255" s="49"/>
    </row>
    <row r="256" customFormat="false" ht="12.75" hidden="false" customHeight="true" outlineLevel="0" collapsed="false">
      <c r="A256" s="48"/>
      <c r="D256" s="49"/>
      <c r="E256" s="49"/>
    </row>
    <row r="257" customFormat="false" ht="12.75" hidden="false" customHeight="true" outlineLevel="0" collapsed="false">
      <c r="A257" s="48"/>
      <c r="D257" s="49"/>
      <c r="E257" s="49"/>
    </row>
    <row r="258" customFormat="false" ht="12.75" hidden="false" customHeight="true" outlineLevel="0" collapsed="false">
      <c r="A258" s="48"/>
      <c r="D258" s="49"/>
      <c r="E258" s="49"/>
    </row>
    <row r="259" customFormat="false" ht="12.75" hidden="false" customHeight="true" outlineLevel="0" collapsed="false">
      <c r="A259" s="48"/>
      <c r="D259" s="49"/>
      <c r="E259" s="49"/>
    </row>
    <row r="260" customFormat="false" ht="12.75" hidden="false" customHeight="true" outlineLevel="0" collapsed="false">
      <c r="A260" s="48"/>
      <c r="D260" s="49"/>
      <c r="E260" s="49"/>
    </row>
    <row r="261" customFormat="false" ht="12.75" hidden="false" customHeight="true" outlineLevel="0" collapsed="false">
      <c r="A261" s="48"/>
      <c r="D261" s="49"/>
      <c r="E261" s="49"/>
    </row>
    <row r="262" customFormat="false" ht="12.75" hidden="false" customHeight="true" outlineLevel="0" collapsed="false">
      <c r="A262" s="48"/>
      <c r="D262" s="49"/>
      <c r="E262" s="49"/>
    </row>
    <row r="263" customFormat="false" ht="12.75" hidden="false" customHeight="true" outlineLevel="0" collapsed="false">
      <c r="A263" s="48"/>
      <c r="D263" s="49"/>
      <c r="E263" s="49"/>
    </row>
    <row r="264" customFormat="false" ht="12.75" hidden="false" customHeight="true" outlineLevel="0" collapsed="false">
      <c r="A264" s="48"/>
      <c r="D264" s="49"/>
      <c r="E264" s="49"/>
    </row>
    <row r="265" customFormat="false" ht="12.75" hidden="false" customHeight="true" outlineLevel="0" collapsed="false">
      <c r="A265" s="48"/>
      <c r="D265" s="49"/>
      <c r="E265" s="49"/>
    </row>
    <row r="266" customFormat="false" ht="12.75" hidden="false" customHeight="true" outlineLevel="0" collapsed="false">
      <c r="A266" s="48"/>
      <c r="D266" s="49"/>
      <c r="E266" s="49"/>
    </row>
    <row r="267" customFormat="false" ht="12.75" hidden="false" customHeight="true" outlineLevel="0" collapsed="false">
      <c r="A267" s="48"/>
      <c r="D267" s="49"/>
      <c r="E267" s="49"/>
    </row>
    <row r="268" customFormat="false" ht="12.75" hidden="false" customHeight="true" outlineLevel="0" collapsed="false">
      <c r="A268" s="48"/>
      <c r="D268" s="49"/>
      <c r="E268" s="49"/>
    </row>
    <row r="269" customFormat="false" ht="12.75" hidden="false" customHeight="true" outlineLevel="0" collapsed="false">
      <c r="A269" s="48"/>
      <c r="D269" s="49"/>
      <c r="E269" s="49"/>
    </row>
    <row r="270" customFormat="false" ht="12.75" hidden="false" customHeight="true" outlineLevel="0" collapsed="false">
      <c r="A270" s="48"/>
      <c r="D270" s="49"/>
      <c r="E270" s="49"/>
    </row>
    <row r="271" customFormat="false" ht="12.75" hidden="false" customHeight="true" outlineLevel="0" collapsed="false">
      <c r="A271" s="48"/>
      <c r="D271" s="49"/>
      <c r="E271" s="49"/>
    </row>
    <row r="272" customFormat="false" ht="12.75" hidden="false" customHeight="true" outlineLevel="0" collapsed="false">
      <c r="A272" s="48"/>
      <c r="D272" s="49"/>
      <c r="E272" s="49"/>
    </row>
    <row r="273" customFormat="false" ht="12.75" hidden="false" customHeight="true" outlineLevel="0" collapsed="false">
      <c r="A273" s="48"/>
      <c r="D273" s="49"/>
      <c r="E273" s="49"/>
    </row>
    <row r="274" customFormat="false" ht="12.75" hidden="false" customHeight="true" outlineLevel="0" collapsed="false">
      <c r="A274" s="48"/>
      <c r="D274" s="49"/>
      <c r="E274" s="49"/>
    </row>
    <row r="275" customFormat="false" ht="12.75" hidden="false" customHeight="true" outlineLevel="0" collapsed="false">
      <c r="A275" s="48"/>
      <c r="D275" s="49"/>
      <c r="E275" s="49"/>
    </row>
    <row r="276" customFormat="false" ht="12.75" hidden="false" customHeight="true" outlineLevel="0" collapsed="false">
      <c r="A276" s="48"/>
      <c r="D276" s="49"/>
      <c r="E276" s="49"/>
    </row>
    <row r="277" customFormat="false" ht="12.75" hidden="false" customHeight="true" outlineLevel="0" collapsed="false">
      <c r="A277" s="48"/>
      <c r="D277" s="49"/>
      <c r="E277" s="49"/>
    </row>
    <row r="278" customFormat="false" ht="12.75" hidden="false" customHeight="true" outlineLevel="0" collapsed="false">
      <c r="A278" s="48"/>
      <c r="D278" s="49"/>
      <c r="E278" s="49"/>
    </row>
    <row r="279" customFormat="false" ht="12.75" hidden="false" customHeight="true" outlineLevel="0" collapsed="false">
      <c r="A279" s="48"/>
      <c r="D279" s="49"/>
      <c r="E279" s="49"/>
    </row>
    <row r="280" customFormat="false" ht="12.75" hidden="false" customHeight="true" outlineLevel="0" collapsed="false">
      <c r="A280" s="48"/>
      <c r="D280" s="49"/>
      <c r="E280" s="49"/>
    </row>
    <row r="281" customFormat="false" ht="12.75" hidden="false" customHeight="true" outlineLevel="0" collapsed="false">
      <c r="A281" s="48"/>
      <c r="D281" s="49"/>
      <c r="E281" s="49"/>
    </row>
    <row r="282" customFormat="false" ht="12.75" hidden="false" customHeight="true" outlineLevel="0" collapsed="false">
      <c r="A282" s="48"/>
      <c r="D282" s="49"/>
      <c r="E282" s="49"/>
    </row>
    <row r="283" customFormat="false" ht="12.75" hidden="false" customHeight="true" outlineLevel="0" collapsed="false">
      <c r="A283" s="48"/>
      <c r="D283" s="49"/>
      <c r="E283" s="49"/>
    </row>
    <row r="284" customFormat="false" ht="12.75" hidden="false" customHeight="true" outlineLevel="0" collapsed="false">
      <c r="A284" s="48"/>
      <c r="D284" s="49"/>
      <c r="E284" s="49"/>
    </row>
    <row r="285" customFormat="false" ht="12.75" hidden="false" customHeight="true" outlineLevel="0" collapsed="false">
      <c r="A285" s="48"/>
      <c r="D285" s="49"/>
      <c r="E285" s="49"/>
    </row>
    <row r="286" customFormat="false" ht="12.75" hidden="false" customHeight="true" outlineLevel="0" collapsed="false">
      <c r="A286" s="48"/>
      <c r="D286" s="49"/>
      <c r="E286" s="49"/>
    </row>
    <row r="287" customFormat="false" ht="12.75" hidden="false" customHeight="true" outlineLevel="0" collapsed="false">
      <c r="A287" s="48"/>
      <c r="D287" s="49"/>
      <c r="E287" s="49"/>
    </row>
    <row r="288" customFormat="false" ht="12.75" hidden="false" customHeight="true" outlineLevel="0" collapsed="false">
      <c r="A288" s="48"/>
      <c r="D288" s="49"/>
      <c r="E288" s="49"/>
    </row>
    <row r="289" customFormat="false" ht="12.75" hidden="false" customHeight="true" outlineLevel="0" collapsed="false">
      <c r="A289" s="48"/>
      <c r="D289" s="49"/>
      <c r="E289" s="49"/>
    </row>
    <row r="290" customFormat="false" ht="12.75" hidden="false" customHeight="true" outlineLevel="0" collapsed="false">
      <c r="A290" s="48"/>
      <c r="D290" s="49"/>
      <c r="E290" s="49"/>
    </row>
    <row r="291" customFormat="false" ht="12.75" hidden="false" customHeight="true" outlineLevel="0" collapsed="false">
      <c r="A291" s="48"/>
      <c r="D291" s="49"/>
      <c r="E291" s="49"/>
    </row>
    <row r="292" customFormat="false" ht="12.75" hidden="false" customHeight="true" outlineLevel="0" collapsed="false">
      <c r="A292" s="48"/>
      <c r="D292" s="49"/>
      <c r="E292" s="49"/>
    </row>
    <row r="293" customFormat="false" ht="12.75" hidden="false" customHeight="true" outlineLevel="0" collapsed="false">
      <c r="A293" s="48"/>
      <c r="D293" s="49"/>
      <c r="E293" s="49"/>
    </row>
    <row r="294" customFormat="false" ht="12.75" hidden="false" customHeight="true" outlineLevel="0" collapsed="false">
      <c r="A294" s="48"/>
      <c r="D294" s="49"/>
      <c r="E294" s="49"/>
    </row>
    <row r="295" customFormat="false" ht="12.75" hidden="false" customHeight="true" outlineLevel="0" collapsed="false">
      <c r="A295" s="48"/>
      <c r="D295" s="49"/>
      <c r="E295" s="49"/>
    </row>
    <row r="296" customFormat="false" ht="12.75" hidden="false" customHeight="true" outlineLevel="0" collapsed="false">
      <c r="A296" s="48"/>
      <c r="D296" s="49"/>
      <c r="E296" s="49"/>
    </row>
    <row r="297" customFormat="false" ht="12.75" hidden="false" customHeight="true" outlineLevel="0" collapsed="false">
      <c r="A297" s="48"/>
      <c r="D297" s="49"/>
      <c r="E297" s="49"/>
    </row>
    <row r="298" customFormat="false" ht="12.75" hidden="false" customHeight="true" outlineLevel="0" collapsed="false">
      <c r="A298" s="48"/>
      <c r="D298" s="49"/>
      <c r="E298" s="49"/>
    </row>
    <row r="299" customFormat="false" ht="12.75" hidden="false" customHeight="true" outlineLevel="0" collapsed="false">
      <c r="A299" s="48"/>
      <c r="D299" s="49"/>
      <c r="E299" s="49"/>
    </row>
    <row r="300" customFormat="false" ht="12.75" hidden="false" customHeight="true" outlineLevel="0" collapsed="false">
      <c r="A300" s="48"/>
      <c r="D300" s="49"/>
      <c r="E300" s="49"/>
    </row>
    <row r="301" customFormat="false" ht="12.75" hidden="false" customHeight="true" outlineLevel="0" collapsed="false">
      <c r="A301" s="48"/>
      <c r="D301" s="49"/>
      <c r="E301" s="49"/>
    </row>
    <row r="302" customFormat="false" ht="12.75" hidden="false" customHeight="true" outlineLevel="0" collapsed="false">
      <c r="A302" s="48"/>
      <c r="D302" s="49"/>
      <c r="E302" s="49"/>
    </row>
    <row r="303" customFormat="false" ht="12.75" hidden="false" customHeight="true" outlineLevel="0" collapsed="false">
      <c r="A303" s="48"/>
      <c r="D303" s="49"/>
      <c r="E303" s="49"/>
    </row>
    <row r="304" customFormat="false" ht="12.75" hidden="false" customHeight="true" outlineLevel="0" collapsed="false">
      <c r="A304" s="48"/>
      <c r="D304" s="49"/>
      <c r="E304" s="49"/>
    </row>
    <row r="305" customFormat="false" ht="12.75" hidden="false" customHeight="true" outlineLevel="0" collapsed="false">
      <c r="A305" s="48"/>
      <c r="D305" s="49"/>
      <c r="E305" s="49"/>
    </row>
    <row r="306" customFormat="false" ht="12.75" hidden="false" customHeight="true" outlineLevel="0" collapsed="false">
      <c r="A306" s="48"/>
      <c r="D306" s="49"/>
      <c r="E306" s="49"/>
    </row>
    <row r="307" customFormat="false" ht="12.75" hidden="false" customHeight="true" outlineLevel="0" collapsed="false">
      <c r="A307" s="48"/>
      <c r="D307" s="49"/>
      <c r="E307" s="49"/>
    </row>
    <row r="308" customFormat="false" ht="12.75" hidden="false" customHeight="true" outlineLevel="0" collapsed="false">
      <c r="A308" s="48"/>
      <c r="D308" s="49"/>
      <c r="E308" s="49"/>
    </row>
    <row r="309" customFormat="false" ht="12.75" hidden="false" customHeight="true" outlineLevel="0" collapsed="false">
      <c r="A309" s="48"/>
      <c r="D309" s="49"/>
      <c r="E309" s="49"/>
    </row>
    <row r="310" customFormat="false" ht="12.75" hidden="false" customHeight="true" outlineLevel="0" collapsed="false">
      <c r="A310" s="48"/>
      <c r="D310" s="49"/>
      <c r="E310" s="49"/>
    </row>
    <row r="311" customFormat="false" ht="12.75" hidden="false" customHeight="true" outlineLevel="0" collapsed="false">
      <c r="A311" s="48"/>
      <c r="D311" s="49"/>
      <c r="E311" s="49"/>
    </row>
    <row r="312" customFormat="false" ht="12.75" hidden="false" customHeight="true" outlineLevel="0" collapsed="false">
      <c r="A312" s="48"/>
      <c r="D312" s="49"/>
      <c r="E312" s="49"/>
    </row>
    <row r="313" customFormat="false" ht="12.75" hidden="false" customHeight="true" outlineLevel="0" collapsed="false">
      <c r="A313" s="48"/>
      <c r="D313" s="49"/>
      <c r="E313" s="49"/>
    </row>
    <row r="314" customFormat="false" ht="12.75" hidden="false" customHeight="true" outlineLevel="0" collapsed="false">
      <c r="A314" s="48"/>
      <c r="D314" s="49"/>
      <c r="E314" s="49"/>
    </row>
    <row r="315" customFormat="false" ht="12.75" hidden="false" customHeight="true" outlineLevel="0" collapsed="false">
      <c r="A315" s="48"/>
      <c r="D315" s="49"/>
      <c r="E315" s="49"/>
    </row>
    <row r="316" customFormat="false" ht="12.75" hidden="false" customHeight="true" outlineLevel="0" collapsed="false">
      <c r="A316" s="48"/>
      <c r="D316" s="49"/>
      <c r="E316" s="49"/>
    </row>
    <row r="317" customFormat="false" ht="12.75" hidden="false" customHeight="true" outlineLevel="0" collapsed="false">
      <c r="A317" s="48"/>
      <c r="D317" s="49"/>
      <c r="E317" s="49"/>
    </row>
    <row r="318" customFormat="false" ht="12.75" hidden="false" customHeight="true" outlineLevel="0" collapsed="false">
      <c r="A318" s="48"/>
      <c r="D318" s="49"/>
      <c r="E318" s="49"/>
    </row>
    <row r="319" customFormat="false" ht="12.75" hidden="false" customHeight="true" outlineLevel="0" collapsed="false">
      <c r="A319" s="48"/>
      <c r="D319" s="49"/>
      <c r="E319" s="49"/>
    </row>
    <row r="320" customFormat="false" ht="12.75" hidden="false" customHeight="true" outlineLevel="0" collapsed="false">
      <c r="A320" s="48"/>
      <c r="D320" s="49"/>
      <c r="E320" s="49"/>
    </row>
    <row r="321" customFormat="false" ht="12.75" hidden="false" customHeight="true" outlineLevel="0" collapsed="false">
      <c r="A321" s="48"/>
      <c r="D321" s="49"/>
      <c r="E321" s="49"/>
    </row>
    <row r="322" customFormat="false" ht="12.75" hidden="false" customHeight="true" outlineLevel="0" collapsed="false">
      <c r="A322" s="48"/>
      <c r="D322" s="49"/>
      <c r="E322" s="49"/>
    </row>
    <row r="323" customFormat="false" ht="12.75" hidden="false" customHeight="true" outlineLevel="0" collapsed="false">
      <c r="A323" s="48"/>
      <c r="D323" s="49"/>
      <c r="E323" s="49"/>
    </row>
    <row r="324" customFormat="false" ht="12.75" hidden="false" customHeight="true" outlineLevel="0" collapsed="false">
      <c r="A324" s="48"/>
      <c r="D324" s="49"/>
      <c r="E324" s="49"/>
    </row>
    <row r="325" customFormat="false" ht="12.75" hidden="false" customHeight="true" outlineLevel="0" collapsed="false">
      <c r="A325" s="48"/>
      <c r="D325" s="49"/>
      <c r="E325" s="49"/>
    </row>
    <row r="326" customFormat="false" ht="12.75" hidden="false" customHeight="true" outlineLevel="0" collapsed="false">
      <c r="A326" s="48"/>
      <c r="D326" s="49"/>
      <c r="E326" s="49"/>
    </row>
    <row r="327" customFormat="false" ht="12.75" hidden="false" customHeight="true" outlineLevel="0" collapsed="false">
      <c r="A327" s="48"/>
      <c r="D327" s="49"/>
      <c r="E327" s="49"/>
    </row>
    <row r="328" customFormat="false" ht="12.75" hidden="false" customHeight="true" outlineLevel="0" collapsed="false">
      <c r="A328" s="48"/>
      <c r="D328" s="49"/>
      <c r="E328" s="49"/>
    </row>
    <row r="329" customFormat="false" ht="12.75" hidden="false" customHeight="true" outlineLevel="0" collapsed="false">
      <c r="A329" s="48"/>
      <c r="D329" s="49"/>
      <c r="E329" s="49"/>
    </row>
    <row r="330" customFormat="false" ht="12.75" hidden="false" customHeight="true" outlineLevel="0" collapsed="false">
      <c r="A330" s="48"/>
      <c r="D330" s="49"/>
      <c r="E330" s="49"/>
    </row>
    <row r="331" customFormat="false" ht="12.75" hidden="false" customHeight="true" outlineLevel="0" collapsed="false">
      <c r="A331" s="48"/>
      <c r="D331" s="49"/>
      <c r="E331" s="49"/>
    </row>
    <row r="332" customFormat="false" ht="12.75" hidden="false" customHeight="true" outlineLevel="0" collapsed="false">
      <c r="A332" s="48"/>
      <c r="D332" s="49"/>
      <c r="E332" s="49"/>
    </row>
    <row r="333" customFormat="false" ht="12.75" hidden="false" customHeight="true" outlineLevel="0" collapsed="false">
      <c r="A333" s="48"/>
      <c r="D333" s="49"/>
      <c r="E333" s="49"/>
    </row>
    <row r="334" customFormat="false" ht="12.75" hidden="false" customHeight="true" outlineLevel="0" collapsed="false">
      <c r="A334" s="48"/>
      <c r="D334" s="49"/>
      <c r="E334" s="49"/>
    </row>
    <row r="335" customFormat="false" ht="12.75" hidden="false" customHeight="true" outlineLevel="0" collapsed="false">
      <c r="A335" s="48"/>
      <c r="D335" s="49"/>
      <c r="E335" s="49"/>
    </row>
    <row r="336" customFormat="false" ht="12.75" hidden="false" customHeight="true" outlineLevel="0" collapsed="false">
      <c r="A336" s="48"/>
      <c r="D336" s="49"/>
      <c r="E336" s="49"/>
    </row>
    <row r="337" customFormat="false" ht="12.75" hidden="false" customHeight="true" outlineLevel="0" collapsed="false">
      <c r="A337" s="48"/>
      <c r="D337" s="49"/>
      <c r="E337" s="49"/>
    </row>
    <row r="338" customFormat="false" ht="12.75" hidden="false" customHeight="true" outlineLevel="0" collapsed="false">
      <c r="A338" s="48"/>
      <c r="D338" s="49"/>
      <c r="E338" s="49"/>
    </row>
    <row r="339" customFormat="false" ht="12.75" hidden="false" customHeight="true" outlineLevel="0" collapsed="false">
      <c r="A339" s="48"/>
      <c r="D339" s="49"/>
      <c r="E339" s="49"/>
    </row>
    <row r="340" customFormat="false" ht="12.75" hidden="false" customHeight="true" outlineLevel="0" collapsed="false">
      <c r="A340" s="48"/>
      <c r="D340" s="49"/>
      <c r="E340" s="49"/>
    </row>
    <row r="341" customFormat="false" ht="12.75" hidden="false" customHeight="true" outlineLevel="0" collapsed="false">
      <c r="A341" s="48"/>
      <c r="D341" s="49"/>
      <c r="E341" s="49"/>
    </row>
    <row r="342" customFormat="false" ht="12.75" hidden="false" customHeight="true" outlineLevel="0" collapsed="false">
      <c r="A342" s="48"/>
      <c r="D342" s="49"/>
      <c r="E342" s="49"/>
    </row>
    <row r="343" customFormat="false" ht="12.75" hidden="false" customHeight="true" outlineLevel="0" collapsed="false">
      <c r="A343" s="48"/>
      <c r="D343" s="49"/>
      <c r="E343" s="49"/>
    </row>
    <row r="344" customFormat="false" ht="12.75" hidden="false" customHeight="true" outlineLevel="0" collapsed="false">
      <c r="A344" s="48"/>
      <c r="D344" s="49"/>
      <c r="E344" s="49"/>
    </row>
    <row r="345" customFormat="false" ht="12.75" hidden="false" customHeight="true" outlineLevel="0" collapsed="false">
      <c r="A345" s="48"/>
      <c r="D345" s="49"/>
      <c r="E345" s="49"/>
    </row>
    <row r="346" customFormat="false" ht="12.75" hidden="false" customHeight="true" outlineLevel="0" collapsed="false">
      <c r="A346" s="48"/>
      <c r="D346" s="49"/>
      <c r="E346" s="49"/>
    </row>
    <row r="347" customFormat="false" ht="12.75" hidden="false" customHeight="true" outlineLevel="0" collapsed="false">
      <c r="A347" s="48"/>
      <c r="D347" s="49"/>
      <c r="E347" s="49"/>
    </row>
    <row r="348" customFormat="false" ht="12.75" hidden="false" customHeight="true" outlineLevel="0" collapsed="false">
      <c r="A348" s="48"/>
      <c r="D348" s="49"/>
      <c r="E348" s="49"/>
    </row>
    <row r="349" customFormat="false" ht="12.75" hidden="false" customHeight="true" outlineLevel="0" collapsed="false">
      <c r="A349" s="48"/>
      <c r="D349" s="49"/>
      <c r="E349" s="49"/>
    </row>
    <row r="350" customFormat="false" ht="12.75" hidden="false" customHeight="true" outlineLevel="0" collapsed="false">
      <c r="A350" s="48"/>
      <c r="D350" s="49"/>
      <c r="E350" s="49"/>
    </row>
    <row r="351" customFormat="false" ht="12.75" hidden="false" customHeight="true" outlineLevel="0" collapsed="false">
      <c r="A351" s="48"/>
      <c r="D351" s="49"/>
      <c r="E351" s="49"/>
    </row>
    <row r="352" customFormat="false" ht="12.75" hidden="false" customHeight="true" outlineLevel="0" collapsed="false">
      <c r="A352" s="48"/>
      <c r="D352" s="49"/>
      <c r="E352" s="49"/>
    </row>
    <row r="353" customFormat="false" ht="12.75" hidden="false" customHeight="true" outlineLevel="0" collapsed="false">
      <c r="A353" s="48"/>
      <c r="D353" s="49"/>
      <c r="E353" s="49"/>
    </row>
    <row r="354" customFormat="false" ht="12.75" hidden="false" customHeight="true" outlineLevel="0" collapsed="false">
      <c r="A354" s="48"/>
      <c r="D354" s="49"/>
      <c r="E354" s="49"/>
    </row>
    <row r="355" customFormat="false" ht="12.75" hidden="false" customHeight="true" outlineLevel="0" collapsed="false">
      <c r="A355" s="48"/>
      <c r="D355" s="49"/>
      <c r="E355" s="49"/>
    </row>
    <row r="356" customFormat="false" ht="12.75" hidden="false" customHeight="true" outlineLevel="0" collapsed="false">
      <c r="A356" s="48"/>
      <c r="D356" s="49"/>
      <c r="E356" s="49"/>
    </row>
    <row r="357" customFormat="false" ht="12.75" hidden="false" customHeight="true" outlineLevel="0" collapsed="false">
      <c r="A357" s="48"/>
      <c r="D357" s="49"/>
      <c r="E357" s="49"/>
    </row>
    <row r="358" customFormat="false" ht="12.75" hidden="false" customHeight="true" outlineLevel="0" collapsed="false">
      <c r="A358" s="48"/>
      <c r="D358" s="49"/>
      <c r="E358" s="49"/>
    </row>
    <row r="359" customFormat="false" ht="12.75" hidden="false" customHeight="true" outlineLevel="0" collapsed="false">
      <c r="A359" s="48"/>
      <c r="D359" s="49"/>
      <c r="E359" s="49"/>
    </row>
    <row r="360" customFormat="false" ht="12.75" hidden="false" customHeight="true" outlineLevel="0" collapsed="false">
      <c r="A360" s="48"/>
      <c r="D360" s="49"/>
      <c r="E360" s="49"/>
    </row>
    <row r="361" customFormat="false" ht="12.75" hidden="false" customHeight="true" outlineLevel="0" collapsed="false">
      <c r="A361" s="48"/>
      <c r="D361" s="49"/>
      <c r="E361" s="49"/>
    </row>
    <row r="362" customFormat="false" ht="12.75" hidden="false" customHeight="true" outlineLevel="0" collapsed="false">
      <c r="A362" s="48"/>
      <c r="D362" s="49"/>
      <c r="E362" s="49"/>
    </row>
    <row r="363" customFormat="false" ht="12.75" hidden="false" customHeight="true" outlineLevel="0" collapsed="false">
      <c r="A363" s="48"/>
      <c r="D363" s="49"/>
      <c r="E363" s="49"/>
    </row>
    <row r="364" customFormat="false" ht="12.75" hidden="false" customHeight="true" outlineLevel="0" collapsed="false">
      <c r="A364" s="48"/>
      <c r="D364" s="49"/>
      <c r="E364" s="49"/>
    </row>
    <row r="365" customFormat="false" ht="12.75" hidden="false" customHeight="true" outlineLevel="0" collapsed="false">
      <c r="A365" s="48"/>
      <c r="D365" s="49"/>
      <c r="E365" s="49"/>
    </row>
    <row r="366" customFormat="false" ht="12.75" hidden="false" customHeight="true" outlineLevel="0" collapsed="false">
      <c r="A366" s="48"/>
      <c r="D366" s="49"/>
      <c r="E366" s="49"/>
    </row>
    <row r="367" customFormat="false" ht="12.75" hidden="false" customHeight="true" outlineLevel="0" collapsed="false">
      <c r="A367" s="48"/>
      <c r="D367" s="49"/>
      <c r="E367" s="49"/>
    </row>
    <row r="368" customFormat="false" ht="12.75" hidden="false" customHeight="true" outlineLevel="0" collapsed="false">
      <c r="A368" s="48"/>
      <c r="D368" s="49"/>
      <c r="E368" s="49"/>
    </row>
    <row r="369" customFormat="false" ht="12.75" hidden="false" customHeight="true" outlineLevel="0" collapsed="false">
      <c r="A369" s="48"/>
      <c r="D369" s="49"/>
      <c r="E369" s="49"/>
    </row>
    <row r="370" customFormat="false" ht="12.75" hidden="false" customHeight="true" outlineLevel="0" collapsed="false">
      <c r="A370" s="48"/>
      <c r="D370" s="49"/>
      <c r="E370" s="49"/>
    </row>
    <row r="371" customFormat="false" ht="12.75" hidden="false" customHeight="true" outlineLevel="0" collapsed="false">
      <c r="A371" s="48"/>
      <c r="D371" s="49"/>
      <c r="E371" s="49"/>
    </row>
    <row r="372" customFormat="false" ht="12.75" hidden="false" customHeight="true" outlineLevel="0" collapsed="false">
      <c r="A372" s="48"/>
      <c r="D372" s="49"/>
      <c r="E372" s="49"/>
    </row>
    <row r="373" customFormat="false" ht="12.75" hidden="false" customHeight="true" outlineLevel="0" collapsed="false">
      <c r="A373" s="48"/>
      <c r="D373" s="49"/>
      <c r="E373" s="49"/>
    </row>
    <row r="374" customFormat="false" ht="12.75" hidden="false" customHeight="true" outlineLevel="0" collapsed="false">
      <c r="A374" s="48"/>
      <c r="D374" s="49"/>
      <c r="E374" s="49"/>
    </row>
    <row r="375" customFormat="false" ht="12.75" hidden="false" customHeight="true" outlineLevel="0" collapsed="false">
      <c r="A375" s="48"/>
      <c r="D375" s="49"/>
      <c r="E375" s="49"/>
    </row>
    <row r="376" customFormat="false" ht="12.75" hidden="false" customHeight="true" outlineLevel="0" collapsed="false">
      <c r="A376" s="48"/>
      <c r="D376" s="49"/>
      <c r="E376" s="49"/>
    </row>
    <row r="377" customFormat="false" ht="12.75" hidden="false" customHeight="true" outlineLevel="0" collapsed="false">
      <c r="A377" s="48"/>
      <c r="D377" s="49"/>
      <c r="E377" s="49"/>
    </row>
    <row r="378" customFormat="false" ht="12.75" hidden="false" customHeight="true" outlineLevel="0" collapsed="false">
      <c r="A378" s="48"/>
      <c r="D378" s="49"/>
      <c r="E378" s="49"/>
    </row>
    <row r="379" customFormat="false" ht="12.75" hidden="false" customHeight="true" outlineLevel="0" collapsed="false">
      <c r="A379" s="48"/>
      <c r="D379" s="49"/>
      <c r="E379" s="49"/>
    </row>
    <row r="380" customFormat="false" ht="12.75" hidden="false" customHeight="true" outlineLevel="0" collapsed="false">
      <c r="A380" s="48"/>
      <c r="D380" s="49"/>
      <c r="E380" s="49"/>
    </row>
    <row r="381" customFormat="false" ht="12.75" hidden="false" customHeight="true" outlineLevel="0" collapsed="false">
      <c r="A381" s="48"/>
      <c r="D381" s="49"/>
      <c r="E381" s="49"/>
    </row>
    <row r="382" customFormat="false" ht="12.75" hidden="false" customHeight="true" outlineLevel="0" collapsed="false">
      <c r="A382" s="48"/>
      <c r="D382" s="49"/>
      <c r="E382" s="49"/>
    </row>
    <row r="383" customFormat="false" ht="12.75" hidden="false" customHeight="true" outlineLevel="0" collapsed="false">
      <c r="A383" s="48"/>
      <c r="D383" s="49"/>
      <c r="E383" s="49"/>
    </row>
    <row r="384" customFormat="false" ht="12.75" hidden="false" customHeight="true" outlineLevel="0" collapsed="false">
      <c r="A384" s="48"/>
      <c r="D384" s="49"/>
      <c r="E384" s="49"/>
    </row>
    <row r="385" customFormat="false" ht="12.75" hidden="false" customHeight="true" outlineLevel="0" collapsed="false">
      <c r="A385" s="48"/>
      <c r="D385" s="49"/>
      <c r="E385" s="49"/>
    </row>
    <row r="386" customFormat="false" ht="12.75" hidden="false" customHeight="true" outlineLevel="0" collapsed="false">
      <c r="A386" s="48"/>
      <c r="D386" s="49"/>
      <c r="E386" s="49"/>
    </row>
    <row r="387" customFormat="false" ht="12.75" hidden="false" customHeight="true" outlineLevel="0" collapsed="false">
      <c r="A387" s="48"/>
      <c r="D387" s="49"/>
      <c r="E387" s="49"/>
    </row>
    <row r="388" customFormat="false" ht="12.75" hidden="false" customHeight="true" outlineLevel="0" collapsed="false">
      <c r="A388" s="48"/>
      <c r="D388" s="49"/>
      <c r="E388" s="49"/>
    </row>
    <row r="389" customFormat="false" ht="12.75" hidden="false" customHeight="true" outlineLevel="0" collapsed="false">
      <c r="A389" s="48"/>
      <c r="D389" s="49"/>
      <c r="E389" s="49"/>
    </row>
    <row r="390" customFormat="false" ht="12.75" hidden="false" customHeight="true" outlineLevel="0" collapsed="false">
      <c r="A390" s="48"/>
      <c r="D390" s="49"/>
      <c r="E390" s="49"/>
    </row>
    <row r="391" customFormat="false" ht="12.75" hidden="false" customHeight="true" outlineLevel="0" collapsed="false">
      <c r="A391" s="48"/>
      <c r="D391" s="49"/>
      <c r="E391" s="49"/>
    </row>
    <row r="392" customFormat="false" ht="12.75" hidden="false" customHeight="true" outlineLevel="0" collapsed="false">
      <c r="A392" s="48"/>
      <c r="D392" s="49"/>
      <c r="E392" s="49"/>
    </row>
    <row r="393" customFormat="false" ht="12.75" hidden="false" customHeight="true" outlineLevel="0" collapsed="false">
      <c r="A393" s="48"/>
      <c r="D393" s="49"/>
      <c r="E393" s="49"/>
    </row>
    <row r="394" customFormat="false" ht="12.75" hidden="false" customHeight="true" outlineLevel="0" collapsed="false">
      <c r="A394" s="48"/>
      <c r="D394" s="49"/>
      <c r="E394" s="49"/>
    </row>
    <row r="395" customFormat="false" ht="12.75" hidden="false" customHeight="true" outlineLevel="0" collapsed="false">
      <c r="A395" s="48"/>
      <c r="D395" s="49"/>
      <c r="E395" s="49"/>
    </row>
    <row r="396" customFormat="false" ht="12.75" hidden="false" customHeight="true" outlineLevel="0" collapsed="false">
      <c r="A396" s="48"/>
      <c r="D396" s="49"/>
      <c r="E396" s="49"/>
    </row>
    <row r="397" customFormat="false" ht="12.75" hidden="false" customHeight="true" outlineLevel="0" collapsed="false">
      <c r="A397" s="48"/>
      <c r="D397" s="49"/>
      <c r="E397" s="49"/>
    </row>
    <row r="398" customFormat="false" ht="12.75" hidden="false" customHeight="true" outlineLevel="0" collapsed="false">
      <c r="A398" s="48"/>
      <c r="D398" s="49"/>
      <c r="E398" s="49"/>
    </row>
    <row r="399" customFormat="false" ht="12.75" hidden="false" customHeight="true" outlineLevel="0" collapsed="false">
      <c r="A399" s="48"/>
      <c r="D399" s="49"/>
      <c r="E399" s="49"/>
    </row>
    <row r="400" customFormat="false" ht="12.75" hidden="false" customHeight="true" outlineLevel="0" collapsed="false">
      <c r="A400" s="48"/>
      <c r="D400" s="49"/>
      <c r="E400" s="49"/>
    </row>
    <row r="401" customFormat="false" ht="12.75" hidden="false" customHeight="true" outlineLevel="0" collapsed="false">
      <c r="A401" s="48"/>
      <c r="D401" s="49"/>
      <c r="E401" s="49"/>
    </row>
    <row r="402" customFormat="false" ht="12.75" hidden="false" customHeight="true" outlineLevel="0" collapsed="false">
      <c r="A402" s="48"/>
      <c r="D402" s="49"/>
      <c r="E402" s="49"/>
    </row>
    <row r="403" customFormat="false" ht="12.75" hidden="false" customHeight="true" outlineLevel="0" collapsed="false">
      <c r="A403" s="48"/>
      <c r="D403" s="49"/>
      <c r="E403" s="49"/>
    </row>
    <row r="404" customFormat="false" ht="12.75" hidden="false" customHeight="true" outlineLevel="0" collapsed="false">
      <c r="A404" s="48"/>
      <c r="D404" s="49"/>
      <c r="E404" s="49"/>
    </row>
    <row r="405" customFormat="false" ht="12.75" hidden="false" customHeight="true" outlineLevel="0" collapsed="false">
      <c r="A405" s="48"/>
      <c r="D405" s="49"/>
      <c r="E405" s="49"/>
    </row>
    <row r="406" customFormat="false" ht="12.75" hidden="false" customHeight="true" outlineLevel="0" collapsed="false">
      <c r="A406" s="48"/>
      <c r="D406" s="49"/>
      <c r="E406" s="49"/>
    </row>
    <row r="407" customFormat="false" ht="12.75" hidden="false" customHeight="true" outlineLevel="0" collapsed="false">
      <c r="A407" s="48"/>
      <c r="D407" s="49"/>
      <c r="E407" s="49"/>
    </row>
    <row r="408" customFormat="false" ht="12.75" hidden="false" customHeight="true" outlineLevel="0" collapsed="false">
      <c r="A408" s="48"/>
      <c r="D408" s="49"/>
      <c r="E408" s="49"/>
    </row>
    <row r="409" customFormat="false" ht="12.75" hidden="false" customHeight="true" outlineLevel="0" collapsed="false">
      <c r="A409" s="48"/>
      <c r="D409" s="49"/>
      <c r="E409" s="49"/>
    </row>
    <row r="410" customFormat="false" ht="12.75" hidden="false" customHeight="true" outlineLevel="0" collapsed="false">
      <c r="A410" s="48"/>
      <c r="D410" s="49"/>
      <c r="E410" s="49"/>
    </row>
    <row r="411" customFormat="false" ht="12.75" hidden="false" customHeight="true" outlineLevel="0" collapsed="false">
      <c r="A411" s="48"/>
      <c r="D411" s="49"/>
      <c r="E411" s="49"/>
    </row>
    <row r="412" customFormat="false" ht="12.75" hidden="false" customHeight="true" outlineLevel="0" collapsed="false">
      <c r="A412" s="48"/>
      <c r="D412" s="49"/>
      <c r="E412" s="49"/>
    </row>
    <row r="413" customFormat="false" ht="12.75" hidden="false" customHeight="true" outlineLevel="0" collapsed="false">
      <c r="A413" s="48"/>
      <c r="D413" s="49"/>
      <c r="E413" s="49"/>
    </row>
    <row r="414" customFormat="false" ht="12.75" hidden="false" customHeight="true" outlineLevel="0" collapsed="false">
      <c r="A414" s="48"/>
      <c r="D414" s="49"/>
      <c r="E414" s="49"/>
    </row>
    <row r="415" customFormat="false" ht="12.75" hidden="false" customHeight="true" outlineLevel="0" collapsed="false">
      <c r="A415" s="48"/>
      <c r="D415" s="49"/>
      <c r="E415" s="49"/>
    </row>
    <row r="416" customFormat="false" ht="12.75" hidden="false" customHeight="true" outlineLevel="0" collapsed="false">
      <c r="A416" s="48"/>
      <c r="D416" s="49"/>
      <c r="E416" s="49"/>
    </row>
    <row r="417" customFormat="false" ht="12.75" hidden="false" customHeight="true" outlineLevel="0" collapsed="false">
      <c r="A417" s="48"/>
      <c r="D417" s="49"/>
      <c r="E417" s="49"/>
    </row>
    <row r="418" customFormat="false" ht="12.75" hidden="false" customHeight="true" outlineLevel="0" collapsed="false">
      <c r="A418" s="48"/>
      <c r="D418" s="49"/>
      <c r="E418" s="49"/>
    </row>
    <row r="419" customFormat="false" ht="12.75" hidden="false" customHeight="true" outlineLevel="0" collapsed="false">
      <c r="A419" s="48"/>
      <c r="D419" s="49"/>
      <c r="E419" s="49"/>
    </row>
    <row r="420" customFormat="false" ht="12.75" hidden="false" customHeight="true" outlineLevel="0" collapsed="false">
      <c r="A420" s="48"/>
      <c r="D420" s="49"/>
      <c r="E420" s="49"/>
    </row>
    <row r="421" customFormat="false" ht="12.75" hidden="false" customHeight="true" outlineLevel="0" collapsed="false">
      <c r="A421" s="48"/>
      <c r="D421" s="49"/>
      <c r="E421" s="49"/>
    </row>
    <row r="422" customFormat="false" ht="12.75" hidden="false" customHeight="true" outlineLevel="0" collapsed="false">
      <c r="A422" s="48"/>
      <c r="D422" s="49"/>
      <c r="E422" s="49"/>
    </row>
    <row r="423" customFormat="false" ht="12.75" hidden="false" customHeight="true" outlineLevel="0" collapsed="false">
      <c r="A423" s="48"/>
      <c r="D423" s="49"/>
      <c r="E423" s="49"/>
    </row>
    <row r="424" customFormat="false" ht="12.75" hidden="false" customHeight="true" outlineLevel="0" collapsed="false">
      <c r="A424" s="48"/>
      <c r="D424" s="49"/>
      <c r="E424" s="49"/>
    </row>
    <row r="425" customFormat="false" ht="12.75" hidden="false" customHeight="true" outlineLevel="0" collapsed="false">
      <c r="A425" s="48"/>
      <c r="D425" s="49"/>
      <c r="E425" s="49"/>
    </row>
    <row r="426" customFormat="false" ht="12.75" hidden="false" customHeight="true" outlineLevel="0" collapsed="false">
      <c r="A426" s="48"/>
      <c r="D426" s="49"/>
      <c r="E426" s="49"/>
    </row>
    <row r="427" customFormat="false" ht="12.75" hidden="false" customHeight="true" outlineLevel="0" collapsed="false">
      <c r="A427" s="48"/>
      <c r="D427" s="49"/>
      <c r="E427" s="49"/>
    </row>
    <row r="428" customFormat="false" ht="12.75" hidden="false" customHeight="true" outlineLevel="0" collapsed="false">
      <c r="A428" s="48"/>
      <c r="D428" s="49"/>
      <c r="E428" s="49"/>
    </row>
    <row r="429" customFormat="false" ht="12.75" hidden="false" customHeight="true" outlineLevel="0" collapsed="false">
      <c r="A429" s="48"/>
      <c r="D429" s="49"/>
      <c r="E429" s="49"/>
    </row>
    <row r="430" customFormat="false" ht="12.75" hidden="false" customHeight="true" outlineLevel="0" collapsed="false">
      <c r="A430" s="48"/>
      <c r="D430" s="49"/>
      <c r="E430" s="49"/>
    </row>
    <row r="431" customFormat="false" ht="12.75" hidden="false" customHeight="true" outlineLevel="0" collapsed="false">
      <c r="A431" s="48"/>
      <c r="D431" s="49"/>
      <c r="E431" s="49"/>
    </row>
    <row r="432" customFormat="false" ht="12.75" hidden="false" customHeight="true" outlineLevel="0" collapsed="false">
      <c r="A432" s="48"/>
      <c r="D432" s="49"/>
      <c r="E432" s="49"/>
    </row>
    <row r="433" customFormat="false" ht="12.75" hidden="false" customHeight="true" outlineLevel="0" collapsed="false">
      <c r="A433" s="48"/>
      <c r="D433" s="49"/>
      <c r="E433" s="49"/>
    </row>
    <row r="434" customFormat="false" ht="12.75" hidden="false" customHeight="true" outlineLevel="0" collapsed="false">
      <c r="A434" s="48"/>
      <c r="D434" s="49"/>
      <c r="E434" s="49"/>
    </row>
    <row r="435" customFormat="false" ht="12.75" hidden="false" customHeight="true" outlineLevel="0" collapsed="false">
      <c r="A435" s="48"/>
      <c r="D435" s="49"/>
      <c r="E435" s="49"/>
    </row>
    <row r="436" customFormat="false" ht="12.75" hidden="false" customHeight="true" outlineLevel="0" collapsed="false">
      <c r="A436" s="48"/>
      <c r="D436" s="49"/>
      <c r="E436" s="49"/>
    </row>
    <row r="437" customFormat="false" ht="12.75" hidden="false" customHeight="true" outlineLevel="0" collapsed="false">
      <c r="A437" s="48"/>
      <c r="D437" s="49"/>
      <c r="E437" s="49"/>
    </row>
    <row r="438" customFormat="false" ht="12.75" hidden="false" customHeight="true" outlineLevel="0" collapsed="false">
      <c r="A438" s="48"/>
      <c r="D438" s="49"/>
      <c r="E438" s="49"/>
    </row>
    <row r="439" customFormat="false" ht="12.75" hidden="false" customHeight="true" outlineLevel="0" collapsed="false">
      <c r="A439" s="48"/>
      <c r="D439" s="49"/>
      <c r="E439" s="49"/>
    </row>
    <row r="440" customFormat="false" ht="12.75" hidden="false" customHeight="true" outlineLevel="0" collapsed="false">
      <c r="A440" s="48"/>
      <c r="D440" s="49"/>
      <c r="E440" s="49"/>
    </row>
    <row r="441" customFormat="false" ht="12.75" hidden="false" customHeight="true" outlineLevel="0" collapsed="false">
      <c r="A441" s="48"/>
      <c r="D441" s="49"/>
      <c r="E441" s="49"/>
    </row>
    <row r="442" customFormat="false" ht="12.75" hidden="false" customHeight="true" outlineLevel="0" collapsed="false">
      <c r="A442" s="48"/>
      <c r="D442" s="49"/>
      <c r="E442" s="49"/>
    </row>
    <row r="443" customFormat="false" ht="12.75" hidden="false" customHeight="true" outlineLevel="0" collapsed="false">
      <c r="A443" s="48"/>
      <c r="D443" s="49"/>
      <c r="E443" s="49"/>
    </row>
    <row r="444" customFormat="false" ht="12.75" hidden="false" customHeight="true" outlineLevel="0" collapsed="false">
      <c r="A444" s="48"/>
      <c r="D444" s="49"/>
      <c r="E444" s="49"/>
    </row>
    <row r="445" customFormat="false" ht="12.75" hidden="false" customHeight="true" outlineLevel="0" collapsed="false">
      <c r="A445" s="48"/>
      <c r="D445" s="49"/>
      <c r="E445" s="49"/>
    </row>
    <row r="446" customFormat="false" ht="12.75" hidden="false" customHeight="true" outlineLevel="0" collapsed="false">
      <c r="A446" s="48"/>
      <c r="D446" s="49"/>
      <c r="E446" s="49"/>
    </row>
    <row r="447" customFormat="false" ht="12.75" hidden="false" customHeight="true" outlineLevel="0" collapsed="false">
      <c r="A447" s="48"/>
      <c r="D447" s="49"/>
      <c r="E447" s="49"/>
    </row>
    <row r="448" customFormat="false" ht="12.75" hidden="false" customHeight="true" outlineLevel="0" collapsed="false">
      <c r="A448" s="48"/>
      <c r="D448" s="49"/>
      <c r="E448" s="49"/>
    </row>
    <row r="449" customFormat="false" ht="12.75" hidden="false" customHeight="true" outlineLevel="0" collapsed="false">
      <c r="A449" s="48"/>
      <c r="D449" s="49"/>
      <c r="E449" s="49"/>
    </row>
    <row r="450" customFormat="false" ht="12.75" hidden="false" customHeight="true" outlineLevel="0" collapsed="false">
      <c r="A450" s="48"/>
      <c r="D450" s="49"/>
      <c r="E450" s="49"/>
    </row>
    <row r="451" customFormat="false" ht="12.75" hidden="false" customHeight="true" outlineLevel="0" collapsed="false">
      <c r="A451" s="48"/>
      <c r="D451" s="49"/>
      <c r="E451" s="49"/>
    </row>
    <row r="452" customFormat="false" ht="12.75" hidden="false" customHeight="true" outlineLevel="0" collapsed="false">
      <c r="A452" s="48"/>
      <c r="D452" s="49"/>
      <c r="E452" s="49"/>
    </row>
    <row r="453" customFormat="false" ht="12.75" hidden="false" customHeight="true" outlineLevel="0" collapsed="false">
      <c r="A453" s="48"/>
      <c r="D453" s="49"/>
      <c r="E453" s="49"/>
    </row>
    <row r="454" customFormat="false" ht="12.75" hidden="false" customHeight="true" outlineLevel="0" collapsed="false">
      <c r="A454" s="48"/>
      <c r="D454" s="49"/>
      <c r="E454" s="49"/>
    </row>
    <row r="455" customFormat="false" ht="12.75" hidden="false" customHeight="true" outlineLevel="0" collapsed="false">
      <c r="A455" s="48"/>
      <c r="D455" s="49"/>
      <c r="E455" s="49"/>
    </row>
    <row r="456" customFormat="false" ht="12.75" hidden="false" customHeight="true" outlineLevel="0" collapsed="false">
      <c r="A456" s="48"/>
      <c r="D456" s="49"/>
      <c r="E456" s="49"/>
    </row>
    <row r="457" customFormat="false" ht="12.75" hidden="false" customHeight="true" outlineLevel="0" collapsed="false">
      <c r="A457" s="48"/>
      <c r="D457" s="49"/>
      <c r="E457" s="49"/>
    </row>
    <row r="458" customFormat="false" ht="12.75" hidden="false" customHeight="true" outlineLevel="0" collapsed="false">
      <c r="A458" s="48"/>
      <c r="D458" s="49"/>
      <c r="E458" s="49"/>
    </row>
    <row r="459" customFormat="false" ht="12.75" hidden="false" customHeight="true" outlineLevel="0" collapsed="false">
      <c r="A459" s="48"/>
      <c r="D459" s="49"/>
      <c r="E459" s="49"/>
    </row>
    <row r="460" customFormat="false" ht="12.75" hidden="false" customHeight="true" outlineLevel="0" collapsed="false">
      <c r="A460" s="48"/>
      <c r="D460" s="49"/>
      <c r="E460" s="49"/>
    </row>
    <row r="461" customFormat="false" ht="12.75" hidden="false" customHeight="true" outlineLevel="0" collapsed="false">
      <c r="A461" s="48"/>
      <c r="D461" s="49"/>
      <c r="E461" s="49"/>
    </row>
    <row r="462" customFormat="false" ht="12.75" hidden="false" customHeight="true" outlineLevel="0" collapsed="false">
      <c r="A462" s="48"/>
      <c r="D462" s="49"/>
      <c r="E462" s="49"/>
    </row>
    <row r="463" customFormat="false" ht="12.75" hidden="false" customHeight="true" outlineLevel="0" collapsed="false">
      <c r="A463" s="48"/>
      <c r="D463" s="49"/>
      <c r="E463" s="49"/>
    </row>
    <row r="464" customFormat="false" ht="12.75" hidden="false" customHeight="true" outlineLevel="0" collapsed="false">
      <c r="A464" s="48"/>
      <c r="D464" s="49"/>
      <c r="E464" s="49"/>
    </row>
    <row r="465" customFormat="false" ht="12.75" hidden="false" customHeight="true" outlineLevel="0" collapsed="false">
      <c r="A465" s="48"/>
      <c r="D465" s="49"/>
      <c r="E465" s="49"/>
    </row>
    <row r="466" customFormat="false" ht="12.75" hidden="false" customHeight="true" outlineLevel="0" collapsed="false">
      <c r="A466" s="48"/>
      <c r="D466" s="49"/>
      <c r="E466" s="49"/>
    </row>
    <row r="467" customFormat="false" ht="12.75" hidden="false" customHeight="true" outlineLevel="0" collapsed="false">
      <c r="A467" s="48"/>
      <c r="D467" s="49"/>
      <c r="E467" s="49"/>
    </row>
    <row r="468" customFormat="false" ht="12.75" hidden="false" customHeight="true" outlineLevel="0" collapsed="false">
      <c r="A468" s="48"/>
      <c r="D468" s="49"/>
      <c r="E468" s="49"/>
    </row>
    <row r="469" customFormat="false" ht="12.75" hidden="false" customHeight="true" outlineLevel="0" collapsed="false">
      <c r="A469" s="48"/>
      <c r="D469" s="49"/>
      <c r="E469" s="49"/>
    </row>
    <row r="470" customFormat="false" ht="12.75" hidden="false" customHeight="true" outlineLevel="0" collapsed="false">
      <c r="A470" s="48"/>
      <c r="D470" s="49"/>
      <c r="E470" s="49"/>
    </row>
    <row r="471" customFormat="false" ht="12.75" hidden="false" customHeight="true" outlineLevel="0" collapsed="false">
      <c r="A471" s="48"/>
      <c r="D471" s="49"/>
      <c r="E471" s="49"/>
    </row>
    <row r="472" customFormat="false" ht="12.75" hidden="false" customHeight="true" outlineLevel="0" collapsed="false">
      <c r="A472" s="48"/>
      <c r="D472" s="49"/>
      <c r="E472" s="49"/>
    </row>
    <row r="473" customFormat="false" ht="12.75" hidden="false" customHeight="true" outlineLevel="0" collapsed="false">
      <c r="A473" s="48"/>
      <c r="D473" s="49"/>
      <c r="E473" s="49"/>
    </row>
    <row r="474" customFormat="false" ht="12.75" hidden="false" customHeight="true" outlineLevel="0" collapsed="false">
      <c r="A474" s="48"/>
      <c r="D474" s="49"/>
      <c r="E474" s="49"/>
    </row>
    <row r="475" customFormat="false" ht="12.75" hidden="false" customHeight="true" outlineLevel="0" collapsed="false">
      <c r="A475" s="48"/>
      <c r="D475" s="49"/>
      <c r="E475" s="49"/>
    </row>
    <row r="476" customFormat="false" ht="12.75" hidden="false" customHeight="true" outlineLevel="0" collapsed="false">
      <c r="A476" s="48"/>
      <c r="D476" s="49"/>
      <c r="E476" s="49"/>
    </row>
    <row r="477" customFormat="false" ht="12.75" hidden="false" customHeight="true" outlineLevel="0" collapsed="false">
      <c r="A477" s="48"/>
      <c r="D477" s="49"/>
      <c r="E477" s="49"/>
    </row>
    <row r="478" customFormat="false" ht="12.75" hidden="false" customHeight="true" outlineLevel="0" collapsed="false">
      <c r="A478" s="48"/>
      <c r="D478" s="49"/>
      <c r="E478" s="49"/>
    </row>
    <row r="479" customFormat="false" ht="12.75" hidden="false" customHeight="true" outlineLevel="0" collapsed="false">
      <c r="A479" s="48"/>
      <c r="D479" s="49"/>
      <c r="E479" s="49"/>
    </row>
    <row r="480" customFormat="false" ht="12.75" hidden="false" customHeight="true" outlineLevel="0" collapsed="false">
      <c r="A480" s="48"/>
      <c r="D480" s="49"/>
      <c r="E480" s="49"/>
    </row>
    <row r="481" customFormat="false" ht="12.75" hidden="false" customHeight="true" outlineLevel="0" collapsed="false">
      <c r="A481" s="48"/>
      <c r="D481" s="49"/>
      <c r="E481" s="49"/>
    </row>
    <row r="482" customFormat="false" ht="12.75" hidden="false" customHeight="true" outlineLevel="0" collapsed="false">
      <c r="A482" s="48"/>
      <c r="D482" s="49"/>
      <c r="E482" s="49"/>
    </row>
    <row r="483" customFormat="false" ht="12.75" hidden="false" customHeight="true" outlineLevel="0" collapsed="false">
      <c r="A483" s="48"/>
      <c r="D483" s="49"/>
      <c r="E483" s="49"/>
    </row>
    <row r="484" customFormat="false" ht="12.75" hidden="false" customHeight="true" outlineLevel="0" collapsed="false">
      <c r="A484" s="48"/>
      <c r="D484" s="49"/>
      <c r="E484" s="49"/>
    </row>
    <row r="485" customFormat="false" ht="12.75" hidden="false" customHeight="true" outlineLevel="0" collapsed="false">
      <c r="A485" s="48"/>
      <c r="D485" s="49"/>
      <c r="E485" s="49"/>
    </row>
    <row r="486" customFormat="false" ht="12.75" hidden="false" customHeight="true" outlineLevel="0" collapsed="false">
      <c r="A486" s="48"/>
      <c r="D486" s="49"/>
      <c r="E486" s="49"/>
    </row>
    <row r="487" customFormat="false" ht="12.75" hidden="false" customHeight="true" outlineLevel="0" collapsed="false">
      <c r="A487" s="48"/>
      <c r="D487" s="49"/>
      <c r="E487" s="49"/>
    </row>
    <row r="488" customFormat="false" ht="12.75" hidden="false" customHeight="true" outlineLevel="0" collapsed="false">
      <c r="A488" s="48"/>
      <c r="D488" s="49"/>
      <c r="E488" s="49"/>
    </row>
    <row r="489" customFormat="false" ht="12.75" hidden="false" customHeight="true" outlineLevel="0" collapsed="false">
      <c r="A489" s="48"/>
      <c r="D489" s="49"/>
      <c r="E489" s="49"/>
    </row>
    <row r="490" customFormat="false" ht="12.75" hidden="false" customHeight="true" outlineLevel="0" collapsed="false">
      <c r="A490" s="48"/>
      <c r="D490" s="49"/>
      <c r="E490" s="49"/>
    </row>
    <row r="491" customFormat="false" ht="12.75" hidden="false" customHeight="true" outlineLevel="0" collapsed="false">
      <c r="A491" s="48"/>
      <c r="D491" s="49"/>
      <c r="E491" s="49"/>
    </row>
    <row r="492" customFormat="false" ht="12.75" hidden="false" customHeight="true" outlineLevel="0" collapsed="false">
      <c r="A492" s="48"/>
      <c r="D492" s="49"/>
      <c r="E492" s="49"/>
    </row>
    <row r="493" customFormat="false" ht="12.75" hidden="false" customHeight="true" outlineLevel="0" collapsed="false">
      <c r="A493" s="48"/>
      <c r="D493" s="49"/>
      <c r="E493" s="49"/>
    </row>
    <row r="494" customFormat="false" ht="12.75" hidden="false" customHeight="true" outlineLevel="0" collapsed="false">
      <c r="A494" s="48"/>
      <c r="D494" s="49"/>
      <c r="E494" s="49"/>
    </row>
    <row r="495" customFormat="false" ht="12.75" hidden="false" customHeight="true" outlineLevel="0" collapsed="false">
      <c r="A495" s="48"/>
      <c r="D495" s="49"/>
      <c r="E495" s="49"/>
    </row>
    <row r="496" customFormat="false" ht="12.75" hidden="false" customHeight="true" outlineLevel="0" collapsed="false">
      <c r="A496" s="48"/>
      <c r="D496" s="49"/>
      <c r="E496" s="49"/>
    </row>
    <row r="497" customFormat="false" ht="12.75" hidden="false" customHeight="true" outlineLevel="0" collapsed="false">
      <c r="A497" s="48"/>
      <c r="D497" s="49"/>
      <c r="E497" s="49"/>
    </row>
    <row r="498" customFormat="false" ht="12.75" hidden="false" customHeight="true" outlineLevel="0" collapsed="false">
      <c r="A498" s="48"/>
      <c r="D498" s="49"/>
      <c r="E498" s="49"/>
    </row>
    <row r="499" customFormat="false" ht="12.75" hidden="false" customHeight="true" outlineLevel="0" collapsed="false">
      <c r="A499" s="48"/>
      <c r="D499" s="49"/>
      <c r="E499" s="49"/>
    </row>
    <row r="500" customFormat="false" ht="12.75" hidden="false" customHeight="true" outlineLevel="0" collapsed="false">
      <c r="A500" s="48"/>
      <c r="D500" s="49"/>
      <c r="E500" s="49"/>
    </row>
    <row r="501" customFormat="false" ht="12.75" hidden="false" customHeight="true" outlineLevel="0" collapsed="false">
      <c r="A501" s="48"/>
      <c r="D501" s="49"/>
      <c r="E501" s="49"/>
    </row>
    <row r="502" customFormat="false" ht="12.75" hidden="false" customHeight="true" outlineLevel="0" collapsed="false">
      <c r="A502" s="48"/>
      <c r="D502" s="49"/>
      <c r="E502" s="49"/>
    </row>
    <row r="503" customFormat="false" ht="12.75" hidden="false" customHeight="true" outlineLevel="0" collapsed="false">
      <c r="A503" s="48"/>
      <c r="D503" s="49"/>
      <c r="E503" s="49"/>
    </row>
    <row r="504" customFormat="false" ht="12.75" hidden="false" customHeight="true" outlineLevel="0" collapsed="false">
      <c r="A504" s="48"/>
      <c r="D504" s="49"/>
      <c r="E504" s="49"/>
    </row>
    <row r="505" customFormat="false" ht="12.75" hidden="false" customHeight="true" outlineLevel="0" collapsed="false">
      <c r="A505" s="48"/>
      <c r="D505" s="49"/>
      <c r="E505" s="49"/>
    </row>
    <row r="506" customFormat="false" ht="12.75" hidden="false" customHeight="true" outlineLevel="0" collapsed="false">
      <c r="A506" s="48"/>
      <c r="D506" s="49"/>
      <c r="E506" s="49"/>
    </row>
    <row r="507" customFormat="false" ht="12.75" hidden="false" customHeight="true" outlineLevel="0" collapsed="false">
      <c r="A507" s="48"/>
      <c r="D507" s="49"/>
      <c r="E507" s="49"/>
    </row>
    <row r="508" customFormat="false" ht="12.75" hidden="false" customHeight="true" outlineLevel="0" collapsed="false">
      <c r="A508" s="48"/>
      <c r="D508" s="49"/>
      <c r="E508" s="49"/>
    </row>
    <row r="509" customFormat="false" ht="12.75" hidden="false" customHeight="true" outlineLevel="0" collapsed="false">
      <c r="A509" s="48"/>
      <c r="D509" s="49"/>
      <c r="E509" s="49"/>
    </row>
    <row r="510" customFormat="false" ht="12.75" hidden="false" customHeight="true" outlineLevel="0" collapsed="false">
      <c r="A510" s="48"/>
      <c r="D510" s="49"/>
      <c r="E510" s="49"/>
    </row>
    <row r="511" customFormat="false" ht="12.75" hidden="false" customHeight="true" outlineLevel="0" collapsed="false">
      <c r="A511" s="48"/>
      <c r="D511" s="49"/>
      <c r="E511" s="49"/>
    </row>
    <row r="512" customFormat="false" ht="12.75" hidden="false" customHeight="true" outlineLevel="0" collapsed="false">
      <c r="A512" s="48"/>
      <c r="D512" s="49"/>
      <c r="E512" s="49"/>
    </row>
    <row r="513" customFormat="false" ht="12.75" hidden="false" customHeight="true" outlineLevel="0" collapsed="false">
      <c r="A513" s="48"/>
      <c r="D513" s="49"/>
      <c r="E513" s="49"/>
    </row>
    <row r="514" customFormat="false" ht="12.75" hidden="false" customHeight="true" outlineLevel="0" collapsed="false">
      <c r="A514" s="48"/>
      <c r="D514" s="49"/>
      <c r="E514" s="49"/>
    </row>
    <row r="515" customFormat="false" ht="12.75" hidden="false" customHeight="true" outlineLevel="0" collapsed="false">
      <c r="A515" s="48"/>
      <c r="D515" s="49"/>
      <c r="E515" s="49"/>
    </row>
    <row r="516" customFormat="false" ht="12.75" hidden="false" customHeight="true" outlineLevel="0" collapsed="false">
      <c r="A516" s="48"/>
      <c r="D516" s="49"/>
      <c r="E516" s="49"/>
    </row>
    <row r="517" customFormat="false" ht="12.75" hidden="false" customHeight="true" outlineLevel="0" collapsed="false">
      <c r="A517" s="48"/>
      <c r="D517" s="49"/>
      <c r="E517" s="49"/>
    </row>
    <row r="518" customFormat="false" ht="12.75" hidden="false" customHeight="true" outlineLevel="0" collapsed="false">
      <c r="A518" s="48"/>
      <c r="D518" s="49"/>
      <c r="E518" s="49"/>
    </row>
    <row r="519" customFormat="false" ht="12.75" hidden="false" customHeight="true" outlineLevel="0" collapsed="false">
      <c r="A519" s="48"/>
      <c r="D519" s="49"/>
      <c r="E519" s="49"/>
    </row>
    <row r="520" customFormat="false" ht="12.75" hidden="false" customHeight="true" outlineLevel="0" collapsed="false">
      <c r="A520" s="48"/>
      <c r="D520" s="49"/>
      <c r="E520" s="49"/>
    </row>
    <row r="521" customFormat="false" ht="12.75" hidden="false" customHeight="true" outlineLevel="0" collapsed="false">
      <c r="A521" s="48"/>
      <c r="D521" s="49"/>
      <c r="E521" s="49"/>
    </row>
    <row r="522" customFormat="false" ht="12.75" hidden="false" customHeight="true" outlineLevel="0" collapsed="false">
      <c r="A522" s="48"/>
      <c r="D522" s="49"/>
      <c r="E522" s="49"/>
    </row>
    <row r="523" customFormat="false" ht="12.75" hidden="false" customHeight="true" outlineLevel="0" collapsed="false">
      <c r="A523" s="48"/>
      <c r="D523" s="49"/>
      <c r="E523" s="49"/>
    </row>
    <row r="524" customFormat="false" ht="12.75" hidden="false" customHeight="true" outlineLevel="0" collapsed="false">
      <c r="A524" s="48"/>
      <c r="D524" s="49"/>
      <c r="E524" s="49"/>
    </row>
    <row r="525" customFormat="false" ht="12.75" hidden="false" customHeight="true" outlineLevel="0" collapsed="false">
      <c r="A525" s="48"/>
      <c r="D525" s="49"/>
      <c r="E525" s="49"/>
    </row>
    <row r="526" customFormat="false" ht="12.75" hidden="false" customHeight="true" outlineLevel="0" collapsed="false">
      <c r="A526" s="48"/>
      <c r="D526" s="49"/>
      <c r="E526" s="49"/>
    </row>
    <row r="527" customFormat="false" ht="12.75" hidden="false" customHeight="true" outlineLevel="0" collapsed="false">
      <c r="A527" s="48"/>
      <c r="D527" s="49"/>
      <c r="E527" s="49"/>
    </row>
    <row r="528" customFormat="false" ht="12.75" hidden="false" customHeight="true" outlineLevel="0" collapsed="false">
      <c r="A528" s="48"/>
      <c r="D528" s="49"/>
      <c r="E528" s="49"/>
    </row>
    <row r="529" customFormat="false" ht="12.75" hidden="false" customHeight="true" outlineLevel="0" collapsed="false">
      <c r="A529" s="48"/>
      <c r="D529" s="49"/>
      <c r="E529" s="49"/>
    </row>
    <row r="530" customFormat="false" ht="12.75" hidden="false" customHeight="true" outlineLevel="0" collapsed="false">
      <c r="A530" s="48"/>
      <c r="D530" s="49"/>
      <c r="E530" s="49"/>
    </row>
    <row r="531" customFormat="false" ht="12.75" hidden="false" customHeight="true" outlineLevel="0" collapsed="false">
      <c r="A531" s="48"/>
      <c r="D531" s="49"/>
      <c r="E531" s="49"/>
    </row>
    <row r="532" customFormat="false" ht="12.75" hidden="false" customHeight="true" outlineLevel="0" collapsed="false">
      <c r="A532" s="48"/>
      <c r="D532" s="49"/>
      <c r="E532" s="49"/>
    </row>
    <row r="533" customFormat="false" ht="12.75" hidden="false" customHeight="true" outlineLevel="0" collapsed="false">
      <c r="A533" s="48"/>
      <c r="D533" s="49"/>
      <c r="E533" s="49"/>
    </row>
    <row r="534" customFormat="false" ht="12.75" hidden="false" customHeight="true" outlineLevel="0" collapsed="false">
      <c r="A534" s="48"/>
      <c r="D534" s="49"/>
      <c r="E534" s="49"/>
    </row>
    <row r="535" customFormat="false" ht="12.75" hidden="false" customHeight="true" outlineLevel="0" collapsed="false">
      <c r="A535" s="48"/>
      <c r="D535" s="49"/>
      <c r="E535" s="49"/>
    </row>
    <row r="536" customFormat="false" ht="12.75" hidden="false" customHeight="true" outlineLevel="0" collapsed="false">
      <c r="A536" s="48"/>
      <c r="D536" s="49"/>
      <c r="E536" s="49"/>
    </row>
    <row r="537" customFormat="false" ht="12.75" hidden="false" customHeight="true" outlineLevel="0" collapsed="false">
      <c r="A537" s="48"/>
      <c r="D537" s="49"/>
      <c r="E537" s="49"/>
    </row>
    <row r="538" customFormat="false" ht="12.75" hidden="false" customHeight="true" outlineLevel="0" collapsed="false">
      <c r="A538" s="48"/>
      <c r="D538" s="49"/>
      <c r="E538" s="49"/>
    </row>
    <row r="539" customFormat="false" ht="12.75" hidden="false" customHeight="true" outlineLevel="0" collapsed="false">
      <c r="A539" s="48"/>
      <c r="D539" s="49"/>
      <c r="E539" s="49"/>
    </row>
    <row r="540" customFormat="false" ht="12.75" hidden="false" customHeight="true" outlineLevel="0" collapsed="false">
      <c r="A540" s="48"/>
      <c r="D540" s="49"/>
      <c r="E540" s="49"/>
    </row>
    <row r="541" customFormat="false" ht="12.75" hidden="false" customHeight="true" outlineLevel="0" collapsed="false">
      <c r="A541" s="48"/>
      <c r="D541" s="49"/>
      <c r="E541" s="49"/>
    </row>
    <row r="542" customFormat="false" ht="12.75" hidden="false" customHeight="true" outlineLevel="0" collapsed="false">
      <c r="A542" s="48"/>
      <c r="D542" s="49"/>
      <c r="E542" s="49"/>
    </row>
    <row r="543" customFormat="false" ht="12.75" hidden="false" customHeight="true" outlineLevel="0" collapsed="false">
      <c r="A543" s="48"/>
      <c r="D543" s="49"/>
      <c r="E543" s="49"/>
    </row>
    <row r="544" customFormat="false" ht="12.75" hidden="false" customHeight="true" outlineLevel="0" collapsed="false">
      <c r="A544" s="48"/>
      <c r="D544" s="49"/>
      <c r="E544" s="49"/>
    </row>
    <row r="545" customFormat="false" ht="12.75" hidden="false" customHeight="true" outlineLevel="0" collapsed="false">
      <c r="A545" s="48"/>
      <c r="D545" s="49"/>
      <c r="E545" s="49"/>
    </row>
    <row r="546" customFormat="false" ht="12.75" hidden="false" customHeight="true" outlineLevel="0" collapsed="false">
      <c r="A546" s="48"/>
      <c r="D546" s="49"/>
      <c r="E546" s="49"/>
    </row>
    <row r="547" customFormat="false" ht="12.75" hidden="false" customHeight="true" outlineLevel="0" collapsed="false">
      <c r="A547" s="48"/>
      <c r="D547" s="49"/>
      <c r="E547" s="49"/>
    </row>
    <row r="548" customFormat="false" ht="12.75" hidden="false" customHeight="true" outlineLevel="0" collapsed="false">
      <c r="A548" s="48"/>
      <c r="D548" s="49"/>
      <c r="E548" s="49"/>
    </row>
    <row r="549" customFormat="false" ht="12.75" hidden="false" customHeight="true" outlineLevel="0" collapsed="false">
      <c r="A549" s="48"/>
      <c r="D549" s="49"/>
      <c r="E549" s="49"/>
    </row>
    <row r="550" customFormat="false" ht="12.75" hidden="false" customHeight="true" outlineLevel="0" collapsed="false">
      <c r="A550" s="48"/>
      <c r="D550" s="49"/>
      <c r="E550" s="49"/>
    </row>
    <row r="551" customFormat="false" ht="12.75" hidden="false" customHeight="true" outlineLevel="0" collapsed="false">
      <c r="A551" s="48"/>
      <c r="D551" s="49"/>
      <c r="E551" s="49"/>
    </row>
    <row r="552" customFormat="false" ht="12.75" hidden="false" customHeight="true" outlineLevel="0" collapsed="false">
      <c r="A552" s="48"/>
      <c r="D552" s="49"/>
      <c r="E552" s="49"/>
    </row>
    <row r="553" customFormat="false" ht="12.75" hidden="false" customHeight="true" outlineLevel="0" collapsed="false">
      <c r="A553" s="48"/>
      <c r="D553" s="49"/>
      <c r="E553" s="49"/>
    </row>
    <row r="554" customFormat="false" ht="12.75" hidden="false" customHeight="true" outlineLevel="0" collapsed="false">
      <c r="A554" s="48"/>
      <c r="D554" s="49"/>
      <c r="E554" s="49"/>
    </row>
    <row r="555" customFormat="false" ht="12.75" hidden="false" customHeight="true" outlineLevel="0" collapsed="false">
      <c r="A555" s="48"/>
      <c r="D555" s="49"/>
      <c r="E555" s="49"/>
    </row>
    <row r="556" customFormat="false" ht="12.75" hidden="false" customHeight="true" outlineLevel="0" collapsed="false">
      <c r="A556" s="48"/>
      <c r="D556" s="49"/>
      <c r="E556" s="49"/>
    </row>
    <row r="557" customFormat="false" ht="12.75" hidden="false" customHeight="true" outlineLevel="0" collapsed="false">
      <c r="A557" s="48"/>
      <c r="D557" s="49"/>
      <c r="E557" s="49"/>
    </row>
    <row r="558" customFormat="false" ht="12.75" hidden="false" customHeight="true" outlineLevel="0" collapsed="false">
      <c r="A558" s="48"/>
      <c r="D558" s="49"/>
      <c r="E558" s="49"/>
    </row>
    <row r="559" customFormat="false" ht="12.75" hidden="false" customHeight="true" outlineLevel="0" collapsed="false">
      <c r="A559" s="48"/>
      <c r="D559" s="49"/>
      <c r="E559" s="49"/>
    </row>
    <row r="560" customFormat="false" ht="12.75" hidden="false" customHeight="true" outlineLevel="0" collapsed="false">
      <c r="A560" s="48"/>
      <c r="D560" s="49"/>
      <c r="E560" s="49"/>
    </row>
    <row r="561" customFormat="false" ht="12.75" hidden="false" customHeight="true" outlineLevel="0" collapsed="false">
      <c r="A561" s="48"/>
      <c r="D561" s="49"/>
      <c r="E561" s="49"/>
    </row>
    <row r="562" customFormat="false" ht="12.75" hidden="false" customHeight="true" outlineLevel="0" collapsed="false">
      <c r="A562" s="48"/>
      <c r="D562" s="49"/>
      <c r="E562" s="49"/>
    </row>
    <row r="563" customFormat="false" ht="12.75" hidden="false" customHeight="true" outlineLevel="0" collapsed="false">
      <c r="A563" s="48"/>
      <c r="D563" s="49"/>
      <c r="E563" s="49"/>
    </row>
    <row r="564" customFormat="false" ht="12.75" hidden="false" customHeight="true" outlineLevel="0" collapsed="false">
      <c r="A564" s="48"/>
      <c r="D564" s="49"/>
      <c r="E564" s="49"/>
    </row>
    <row r="565" customFormat="false" ht="12.75" hidden="false" customHeight="true" outlineLevel="0" collapsed="false">
      <c r="A565" s="48"/>
      <c r="D565" s="49"/>
      <c r="E565" s="49"/>
    </row>
    <row r="566" customFormat="false" ht="12.75" hidden="false" customHeight="true" outlineLevel="0" collapsed="false">
      <c r="A566" s="48"/>
      <c r="D566" s="49"/>
      <c r="E566" s="49"/>
    </row>
    <row r="567" customFormat="false" ht="12.75" hidden="false" customHeight="true" outlineLevel="0" collapsed="false">
      <c r="A567" s="48"/>
      <c r="D567" s="49"/>
      <c r="E567" s="49"/>
    </row>
    <row r="568" customFormat="false" ht="12.75" hidden="false" customHeight="true" outlineLevel="0" collapsed="false">
      <c r="A568" s="48"/>
      <c r="D568" s="49"/>
      <c r="E568" s="49"/>
    </row>
    <row r="569" customFormat="false" ht="12.75" hidden="false" customHeight="true" outlineLevel="0" collapsed="false">
      <c r="A569" s="48"/>
      <c r="D569" s="49"/>
      <c r="E569" s="49"/>
    </row>
    <row r="570" customFormat="false" ht="12.75" hidden="false" customHeight="true" outlineLevel="0" collapsed="false">
      <c r="A570" s="48"/>
      <c r="D570" s="49"/>
      <c r="E570" s="49"/>
    </row>
    <row r="571" customFormat="false" ht="12.75" hidden="false" customHeight="true" outlineLevel="0" collapsed="false">
      <c r="A571" s="48"/>
      <c r="D571" s="49"/>
      <c r="E571" s="49"/>
    </row>
    <row r="572" customFormat="false" ht="12.75" hidden="false" customHeight="true" outlineLevel="0" collapsed="false">
      <c r="A572" s="48"/>
      <c r="D572" s="49"/>
      <c r="E572" s="49"/>
    </row>
    <row r="573" customFormat="false" ht="12.75" hidden="false" customHeight="true" outlineLevel="0" collapsed="false">
      <c r="A573" s="48"/>
      <c r="D573" s="49"/>
      <c r="E573" s="49"/>
    </row>
    <row r="574" customFormat="false" ht="12.75" hidden="false" customHeight="true" outlineLevel="0" collapsed="false">
      <c r="A574" s="48"/>
      <c r="D574" s="49"/>
      <c r="E574" s="49"/>
    </row>
    <row r="575" customFormat="false" ht="12.75" hidden="false" customHeight="true" outlineLevel="0" collapsed="false">
      <c r="A575" s="48"/>
      <c r="D575" s="49"/>
      <c r="E575" s="49"/>
    </row>
    <row r="576" customFormat="false" ht="12.75" hidden="false" customHeight="true" outlineLevel="0" collapsed="false">
      <c r="A576" s="48"/>
      <c r="D576" s="49"/>
      <c r="E576" s="49"/>
    </row>
    <row r="577" customFormat="false" ht="12.75" hidden="false" customHeight="true" outlineLevel="0" collapsed="false">
      <c r="A577" s="48"/>
      <c r="D577" s="49"/>
      <c r="E577" s="49"/>
    </row>
    <row r="578" customFormat="false" ht="12.75" hidden="false" customHeight="true" outlineLevel="0" collapsed="false">
      <c r="A578" s="48"/>
      <c r="D578" s="49"/>
      <c r="E578" s="49"/>
    </row>
    <row r="579" customFormat="false" ht="12.75" hidden="false" customHeight="true" outlineLevel="0" collapsed="false">
      <c r="A579" s="48"/>
      <c r="D579" s="49"/>
      <c r="E579" s="49"/>
    </row>
    <row r="580" customFormat="false" ht="12.75" hidden="false" customHeight="true" outlineLevel="0" collapsed="false">
      <c r="A580" s="48"/>
      <c r="D580" s="49"/>
      <c r="E580" s="49"/>
    </row>
    <row r="581" customFormat="false" ht="12.75" hidden="false" customHeight="true" outlineLevel="0" collapsed="false">
      <c r="A581" s="48"/>
      <c r="D581" s="49"/>
      <c r="E581" s="49"/>
    </row>
    <row r="582" customFormat="false" ht="12.75" hidden="false" customHeight="true" outlineLevel="0" collapsed="false">
      <c r="A582" s="48"/>
      <c r="D582" s="49"/>
      <c r="E582" s="49"/>
    </row>
    <row r="583" customFormat="false" ht="12.75" hidden="false" customHeight="true" outlineLevel="0" collapsed="false">
      <c r="A583" s="48"/>
      <c r="D583" s="49"/>
      <c r="E583" s="49"/>
    </row>
    <row r="584" customFormat="false" ht="12.75" hidden="false" customHeight="true" outlineLevel="0" collapsed="false">
      <c r="A584" s="48"/>
      <c r="D584" s="49"/>
      <c r="E584" s="49"/>
    </row>
    <row r="585" customFormat="false" ht="12.75" hidden="false" customHeight="true" outlineLevel="0" collapsed="false">
      <c r="A585" s="48"/>
      <c r="D585" s="49"/>
      <c r="E585" s="49"/>
    </row>
    <row r="586" customFormat="false" ht="12.75" hidden="false" customHeight="true" outlineLevel="0" collapsed="false">
      <c r="A586" s="48"/>
      <c r="D586" s="49"/>
      <c r="E586" s="49"/>
    </row>
    <row r="587" customFormat="false" ht="12.75" hidden="false" customHeight="true" outlineLevel="0" collapsed="false">
      <c r="A587" s="48"/>
      <c r="D587" s="49"/>
      <c r="E587" s="49"/>
    </row>
    <row r="588" customFormat="false" ht="12.75" hidden="false" customHeight="true" outlineLevel="0" collapsed="false">
      <c r="A588" s="48"/>
      <c r="D588" s="49"/>
      <c r="E588" s="49"/>
    </row>
    <row r="589" customFormat="false" ht="12.75" hidden="false" customHeight="true" outlineLevel="0" collapsed="false">
      <c r="A589" s="48"/>
      <c r="D589" s="49"/>
      <c r="E589" s="49"/>
    </row>
    <row r="590" customFormat="false" ht="12.75" hidden="false" customHeight="true" outlineLevel="0" collapsed="false">
      <c r="A590" s="48"/>
      <c r="D590" s="49"/>
      <c r="E590" s="49"/>
    </row>
    <row r="591" customFormat="false" ht="12.75" hidden="false" customHeight="true" outlineLevel="0" collapsed="false">
      <c r="A591" s="48"/>
      <c r="D591" s="49"/>
      <c r="E591" s="49"/>
    </row>
    <row r="592" customFormat="false" ht="12.75" hidden="false" customHeight="true" outlineLevel="0" collapsed="false">
      <c r="A592" s="48"/>
      <c r="D592" s="49"/>
      <c r="E592" s="49"/>
    </row>
    <row r="593" customFormat="false" ht="12.75" hidden="false" customHeight="true" outlineLevel="0" collapsed="false">
      <c r="A593" s="48"/>
      <c r="D593" s="49"/>
      <c r="E593" s="49"/>
    </row>
    <row r="594" customFormat="false" ht="12.75" hidden="false" customHeight="true" outlineLevel="0" collapsed="false">
      <c r="A594" s="48"/>
      <c r="D594" s="49"/>
      <c r="E594" s="49"/>
    </row>
    <row r="595" customFormat="false" ht="12.75" hidden="false" customHeight="true" outlineLevel="0" collapsed="false">
      <c r="A595" s="48"/>
      <c r="D595" s="49"/>
      <c r="E595" s="49"/>
    </row>
    <row r="596" customFormat="false" ht="12.75" hidden="false" customHeight="true" outlineLevel="0" collapsed="false">
      <c r="A596" s="48"/>
      <c r="D596" s="49"/>
      <c r="E596" s="49"/>
    </row>
    <row r="597" customFormat="false" ht="12.75" hidden="false" customHeight="true" outlineLevel="0" collapsed="false">
      <c r="A597" s="48"/>
      <c r="D597" s="49"/>
      <c r="E597" s="49"/>
    </row>
    <row r="598" customFormat="false" ht="12.75" hidden="false" customHeight="true" outlineLevel="0" collapsed="false">
      <c r="A598" s="48"/>
      <c r="D598" s="49"/>
      <c r="E598" s="49"/>
    </row>
    <row r="599" customFormat="false" ht="12.75" hidden="false" customHeight="true" outlineLevel="0" collapsed="false">
      <c r="A599" s="48"/>
      <c r="D599" s="49"/>
      <c r="E599" s="49"/>
    </row>
    <row r="600" customFormat="false" ht="12.75" hidden="false" customHeight="true" outlineLevel="0" collapsed="false">
      <c r="A600" s="48"/>
      <c r="D600" s="49"/>
      <c r="E600" s="49"/>
    </row>
    <row r="601" customFormat="false" ht="12.75" hidden="false" customHeight="true" outlineLevel="0" collapsed="false">
      <c r="A601" s="48"/>
      <c r="D601" s="49"/>
      <c r="E601" s="49"/>
    </row>
    <row r="602" customFormat="false" ht="12.75" hidden="false" customHeight="true" outlineLevel="0" collapsed="false">
      <c r="A602" s="48"/>
      <c r="D602" s="49"/>
      <c r="E602" s="49"/>
    </row>
    <row r="603" customFormat="false" ht="12.75" hidden="false" customHeight="true" outlineLevel="0" collapsed="false">
      <c r="A603" s="48"/>
      <c r="D603" s="49"/>
      <c r="E603" s="49"/>
    </row>
    <row r="604" customFormat="false" ht="12.75" hidden="false" customHeight="true" outlineLevel="0" collapsed="false">
      <c r="A604" s="48"/>
      <c r="D604" s="49"/>
      <c r="E604" s="49"/>
    </row>
    <row r="605" customFormat="false" ht="12.75" hidden="false" customHeight="true" outlineLevel="0" collapsed="false">
      <c r="A605" s="48"/>
      <c r="D605" s="49"/>
      <c r="E605" s="49"/>
    </row>
    <row r="606" customFormat="false" ht="12.75" hidden="false" customHeight="true" outlineLevel="0" collapsed="false">
      <c r="A606" s="48"/>
      <c r="D606" s="49"/>
      <c r="E606" s="49"/>
    </row>
    <row r="607" customFormat="false" ht="12.75" hidden="false" customHeight="true" outlineLevel="0" collapsed="false">
      <c r="A607" s="48"/>
      <c r="D607" s="49"/>
      <c r="E607" s="49"/>
    </row>
    <row r="608" customFormat="false" ht="12.75" hidden="false" customHeight="true" outlineLevel="0" collapsed="false">
      <c r="A608" s="48"/>
      <c r="D608" s="49"/>
      <c r="E608" s="49"/>
    </row>
    <row r="609" customFormat="false" ht="12.75" hidden="false" customHeight="true" outlineLevel="0" collapsed="false">
      <c r="A609" s="48"/>
      <c r="D609" s="49"/>
      <c r="E609" s="49"/>
    </row>
    <row r="610" customFormat="false" ht="12.75" hidden="false" customHeight="true" outlineLevel="0" collapsed="false">
      <c r="A610" s="48"/>
      <c r="D610" s="49"/>
      <c r="E610" s="49"/>
    </row>
    <row r="611" customFormat="false" ht="12.75" hidden="false" customHeight="true" outlineLevel="0" collapsed="false">
      <c r="A611" s="48"/>
      <c r="D611" s="49"/>
      <c r="E611" s="49"/>
    </row>
    <row r="612" customFormat="false" ht="12.75" hidden="false" customHeight="true" outlineLevel="0" collapsed="false">
      <c r="A612" s="48"/>
      <c r="D612" s="49"/>
      <c r="E612" s="49"/>
    </row>
    <row r="613" customFormat="false" ht="12.75" hidden="false" customHeight="true" outlineLevel="0" collapsed="false">
      <c r="A613" s="48"/>
      <c r="D613" s="49"/>
      <c r="E613" s="49"/>
    </row>
    <row r="614" customFormat="false" ht="12.75" hidden="false" customHeight="true" outlineLevel="0" collapsed="false">
      <c r="A614" s="48"/>
      <c r="D614" s="49"/>
      <c r="E614" s="49"/>
    </row>
    <row r="615" customFormat="false" ht="12.75" hidden="false" customHeight="true" outlineLevel="0" collapsed="false">
      <c r="A615" s="48"/>
      <c r="D615" s="49"/>
      <c r="E615" s="49"/>
    </row>
    <row r="616" customFormat="false" ht="12.75" hidden="false" customHeight="true" outlineLevel="0" collapsed="false">
      <c r="A616" s="48"/>
      <c r="D616" s="49"/>
      <c r="E616" s="49"/>
    </row>
    <row r="617" customFormat="false" ht="12.75" hidden="false" customHeight="true" outlineLevel="0" collapsed="false">
      <c r="A617" s="48"/>
      <c r="D617" s="49"/>
      <c r="E617" s="49"/>
    </row>
    <row r="618" customFormat="false" ht="12.75" hidden="false" customHeight="true" outlineLevel="0" collapsed="false">
      <c r="A618" s="48"/>
      <c r="D618" s="49"/>
      <c r="E618" s="49"/>
    </row>
    <row r="619" customFormat="false" ht="12.75" hidden="false" customHeight="true" outlineLevel="0" collapsed="false">
      <c r="A619" s="48"/>
      <c r="D619" s="49"/>
      <c r="E619" s="49"/>
    </row>
    <row r="620" customFormat="false" ht="12.75" hidden="false" customHeight="true" outlineLevel="0" collapsed="false">
      <c r="A620" s="48"/>
      <c r="D620" s="49"/>
      <c r="E620" s="49"/>
    </row>
    <row r="621" customFormat="false" ht="12.75" hidden="false" customHeight="true" outlineLevel="0" collapsed="false">
      <c r="A621" s="48"/>
      <c r="D621" s="49"/>
      <c r="E621" s="49"/>
    </row>
    <row r="622" customFormat="false" ht="12.75" hidden="false" customHeight="true" outlineLevel="0" collapsed="false">
      <c r="A622" s="48"/>
      <c r="D622" s="49"/>
      <c r="E622" s="49"/>
    </row>
    <row r="623" customFormat="false" ht="12.75" hidden="false" customHeight="true" outlineLevel="0" collapsed="false">
      <c r="A623" s="48"/>
      <c r="D623" s="49"/>
      <c r="E623" s="49"/>
    </row>
    <row r="624" customFormat="false" ht="12.75" hidden="false" customHeight="true" outlineLevel="0" collapsed="false">
      <c r="A624" s="48"/>
      <c r="D624" s="49"/>
      <c r="E624" s="49"/>
    </row>
    <row r="625" customFormat="false" ht="12.75" hidden="false" customHeight="true" outlineLevel="0" collapsed="false">
      <c r="A625" s="48"/>
      <c r="D625" s="49"/>
      <c r="E625" s="49"/>
    </row>
    <row r="626" customFormat="false" ht="12.75" hidden="false" customHeight="true" outlineLevel="0" collapsed="false">
      <c r="A626" s="48"/>
      <c r="D626" s="49"/>
      <c r="E626" s="49"/>
    </row>
    <row r="627" customFormat="false" ht="12.75" hidden="false" customHeight="true" outlineLevel="0" collapsed="false">
      <c r="A627" s="48"/>
      <c r="D627" s="49"/>
      <c r="E627" s="49"/>
    </row>
    <row r="628" customFormat="false" ht="12.75" hidden="false" customHeight="true" outlineLevel="0" collapsed="false">
      <c r="A628" s="48"/>
      <c r="D628" s="49"/>
      <c r="E628" s="49"/>
    </row>
    <row r="629" customFormat="false" ht="12.75" hidden="false" customHeight="true" outlineLevel="0" collapsed="false">
      <c r="A629" s="48"/>
      <c r="D629" s="49"/>
      <c r="E629" s="49"/>
    </row>
    <row r="630" customFormat="false" ht="12.75" hidden="false" customHeight="true" outlineLevel="0" collapsed="false">
      <c r="A630" s="48"/>
      <c r="D630" s="49"/>
      <c r="E630" s="49"/>
    </row>
    <row r="631" customFormat="false" ht="12.75" hidden="false" customHeight="true" outlineLevel="0" collapsed="false">
      <c r="A631" s="48"/>
      <c r="D631" s="49"/>
      <c r="E631" s="49"/>
    </row>
    <row r="632" customFormat="false" ht="12.75" hidden="false" customHeight="true" outlineLevel="0" collapsed="false">
      <c r="A632" s="48"/>
      <c r="D632" s="49"/>
      <c r="E632" s="49"/>
    </row>
    <row r="633" customFormat="false" ht="12.75" hidden="false" customHeight="true" outlineLevel="0" collapsed="false">
      <c r="A633" s="48"/>
      <c r="D633" s="49"/>
      <c r="E633" s="49"/>
    </row>
    <row r="634" customFormat="false" ht="12.75" hidden="false" customHeight="true" outlineLevel="0" collapsed="false">
      <c r="A634" s="48"/>
      <c r="D634" s="49"/>
      <c r="E634" s="49"/>
    </row>
    <row r="635" customFormat="false" ht="12.75" hidden="false" customHeight="true" outlineLevel="0" collapsed="false">
      <c r="A635" s="48"/>
      <c r="D635" s="49"/>
      <c r="E635" s="49"/>
    </row>
    <row r="636" customFormat="false" ht="12.75" hidden="false" customHeight="true" outlineLevel="0" collapsed="false">
      <c r="A636" s="48"/>
      <c r="D636" s="49"/>
      <c r="E636" s="49"/>
    </row>
    <row r="637" customFormat="false" ht="12.75" hidden="false" customHeight="true" outlineLevel="0" collapsed="false">
      <c r="A637" s="48"/>
      <c r="D637" s="49"/>
      <c r="E637" s="49"/>
    </row>
    <row r="638" customFormat="false" ht="12.75" hidden="false" customHeight="true" outlineLevel="0" collapsed="false">
      <c r="A638" s="48"/>
      <c r="D638" s="49"/>
      <c r="E638" s="49"/>
    </row>
    <row r="639" customFormat="false" ht="12.75" hidden="false" customHeight="true" outlineLevel="0" collapsed="false">
      <c r="A639" s="48"/>
      <c r="D639" s="49"/>
      <c r="E639" s="49"/>
    </row>
    <row r="640" customFormat="false" ht="12.75" hidden="false" customHeight="true" outlineLevel="0" collapsed="false">
      <c r="A640" s="48"/>
      <c r="D640" s="49"/>
      <c r="E640" s="49"/>
    </row>
    <row r="641" customFormat="false" ht="12.75" hidden="false" customHeight="true" outlineLevel="0" collapsed="false">
      <c r="A641" s="48"/>
      <c r="D641" s="49"/>
      <c r="E641" s="49"/>
    </row>
    <row r="642" customFormat="false" ht="12.75" hidden="false" customHeight="true" outlineLevel="0" collapsed="false">
      <c r="A642" s="48"/>
      <c r="D642" s="49"/>
      <c r="E642" s="49"/>
    </row>
    <row r="643" customFormat="false" ht="12.75" hidden="false" customHeight="true" outlineLevel="0" collapsed="false">
      <c r="A643" s="48"/>
      <c r="D643" s="49"/>
      <c r="E643" s="49"/>
    </row>
    <row r="644" customFormat="false" ht="12.75" hidden="false" customHeight="true" outlineLevel="0" collapsed="false">
      <c r="A644" s="48"/>
      <c r="D644" s="49"/>
      <c r="E644" s="49"/>
    </row>
    <row r="645" customFormat="false" ht="12.75" hidden="false" customHeight="true" outlineLevel="0" collapsed="false">
      <c r="A645" s="48"/>
      <c r="D645" s="49"/>
      <c r="E645" s="49"/>
    </row>
    <row r="646" customFormat="false" ht="12.75" hidden="false" customHeight="true" outlineLevel="0" collapsed="false">
      <c r="A646" s="48"/>
      <c r="D646" s="49"/>
      <c r="E646" s="49"/>
    </row>
    <row r="647" customFormat="false" ht="12.75" hidden="false" customHeight="true" outlineLevel="0" collapsed="false">
      <c r="A647" s="48"/>
      <c r="D647" s="49"/>
      <c r="E647" s="49"/>
    </row>
    <row r="648" customFormat="false" ht="12.75" hidden="false" customHeight="true" outlineLevel="0" collapsed="false">
      <c r="A648" s="48"/>
      <c r="D648" s="49"/>
      <c r="E648" s="49"/>
    </row>
    <row r="649" customFormat="false" ht="12.75" hidden="false" customHeight="true" outlineLevel="0" collapsed="false">
      <c r="A649" s="48"/>
      <c r="D649" s="49"/>
      <c r="E649" s="49"/>
    </row>
    <row r="650" customFormat="false" ht="12.75" hidden="false" customHeight="true" outlineLevel="0" collapsed="false">
      <c r="A650" s="48"/>
      <c r="D650" s="49"/>
      <c r="E650" s="49"/>
    </row>
    <row r="651" customFormat="false" ht="12.75" hidden="false" customHeight="true" outlineLevel="0" collapsed="false">
      <c r="A651" s="48"/>
      <c r="D651" s="49"/>
      <c r="E651" s="49"/>
    </row>
    <row r="652" customFormat="false" ht="12.75" hidden="false" customHeight="true" outlineLevel="0" collapsed="false">
      <c r="A652" s="48"/>
      <c r="D652" s="49"/>
      <c r="E652" s="49"/>
    </row>
    <row r="653" customFormat="false" ht="12.75" hidden="false" customHeight="true" outlineLevel="0" collapsed="false">
      <c r="A653" s="48"/>
      <c r="D653" s="49"/>
      <c r="E653" s="49"/>
    </row>
    <row r="654" customFormat="false" ht="12.75" hidden="false" customHeight="true" outlineLevel="0" collapsed="false">
      <c r="A654" s="48"/>
      <c r="D654" s="49"/>
      <c r="E654" s="49"/>
    </row>
    <row r="655" customFormat="false" ht="12.75" hidden="false" customHeight="true" outlineLevel="0" collapsed="false">
      <c r="A655" s="48"/>
      <c r="D655" s="49"/>
      <c r="E655" s="49"/>
    </row>
    <row r="656" customFormat="false" ht="12.75" hidden="false" customHeight="true" outlineLevel="0" collapsed="false">
      <c r="A656" s="48"/>
      <c r="D656" s="49"/>
      <c r="E656" s="49"/>
    </row>
    <row r="657" customFormat="false" ht="12.75" hidden="false" customHeight="true" outlineLevel="0" collapsed="false">
      <c r="A657" s="48"/>
      <c r="D657" s="49"/>
      <c r="E657" s="49"/>
    </row>
    <row r="658" customFormat="false" ht="12.75" hidden="false" customHeight="true" outlineLevel="0" collapsed="false">
      <c r="A658" s="48"/>
      <c r="D658" s="49"/>
      <c r="E658" s="49"/>
    </row>
    <row r="659" customFormat="false" ht="12.75" hidden="false" customHeight="true" outlineLevel="0" collapsed="false">
      <c r="A659" s="48"/>
      <c r="D659" s="49"/>
      <c r="E659" s="49"/>
    </row>
    <row r="660" customFormat="false" ht="12.75" hidden="false" customHeight="true" outlineLevel="0" collapsed="false">
      <c r="A660" s="48"/>
      <c r="D660" s="49"/>
      <c r="E660" s="49"/>
    </row>
    <row r="661" customFormat="false" ht="12.75" hidden="false" customHeight="true" outlineLevel="0" collapsed="false">
      <c r="A661" s="48"/>
      <c r="D661" s="49"/>
      <c r="E661" s="49"/>
    </row>
    <row r="662" customFormat="false" ht="12.75" hidden="false" customHeight="true" outlineLevel="0" collapsed="false">
      <c r="A662" s="48"/>
      <c r="D662" s="49"/>
      <c r="E662" s="49"/>
    </row>
    <row r="663" customFormat="false" ht="12.75" hidden="false" customHeight="true" outlineLevel="0" collapsed="false">
      <c r="A663" s="48"/>
      <c r="D663" s="49"/>
      <c r="E663" s="49"/>
    </row>
    <row r="664" customFormat="false" ht="12.75" hidden="false" customHeight="true" outlineLevel="0" collapsed="false">
      <c r="A664" s="48"/>
      <c r="D664" s="49"/>
      <c r="E664" s="49"/>
    </row>
    <row r="665" customFormat="false" ht="12.75" hidden="false" customHeight="true" outlineLevel="0" collapsed="false">
      <c r="A665" s="48"/>
      <c r="D665" s="49"/>
      <c r="E665" s="49"/>
    </row>
    <row r="666" customFormat="false" ht="12.75" hidden="false" customHeight="true" outlineLevel="0" collapsed="false">
      <c r="A666" s="48"/>
      <c r="D666" s="49"/>
      <c r="E666" s="49"/>
    </row>
    <row r="667" customFormat="false" ht="12.75" hidden="false" customHeight="true" outlineLevel="0" collapsed="false">
      <c r="A667" s="48"/>
      <c r="D667" s="49"/>
      <c r="E667" s="49"/>
    </row>
    <row r="668" customFormat="false" ht="12.75" hidden="false" customHeight="true" outlineLevel="0" collapsed="false">
      <c r="A668" s="48"/>
      <c r="D668" s="49"/>
      <c r="E668" s="49"/>
    </row>
    <row r="669" customFormat="false" ht="12.75" hidden="false" customHeight="true" outlineLevel="0" collapsed="false">
      <c r="A669" s="48"/>
      <c r="D669" s="49"/>
      <c r="E669" s="49"/>
    </row>
    <row r="670" customFormat="false" ht="12.75" hidden="false" customHeight="true" outlineLevel="0" collapsed="false">
      <c r="A670" s="48"/>
      <c r="D670" s="49"/>
      <c r="E670" s="49"/>
    </row>
    <row r="671" customFormat="false" ht="12.75" hidden="false" customHeight="true" outlineLevel="0" collapsed="false">
      <c r="A671" s="48"/>
      <c r="D671" s="49"/>
      <c r="E671" s="49"/>
    </row>
    <row r="672" customFormat="false" ht="12.75" hidden="false" customHeight="true" outlineLevel="0" collapsed="false">
      <c r="A672" s="48"/>
      <c r="D672" s="49"/>
      <c r="E672" s="49"/>
    </row>
    <row r="673" customFormat="false" ht="12.75" hidden="false" customHeight="true" outlineLevel="0" collapsed="false">
      <c r="A673" s="48"/>
      <c r="D673" s="49"/>
      <c r="E673" s="49"/>
    </row>
    <row r="674" customFormat="false" ht="12.75" hidden="false" customHeight="true" outlineLevel="0" collapsed="false">
      <c r="A674" s="48"/>
      <c r="D674" s="49"/>
      <c r="E674" s="49"/>
    </row>
    <row r="675" customFormat="false" ht="12.75" hidden="false" customHeight="true" outlineLevel="0" collapsed="false">
      <c r="A675" s="48"/>
      <c r="D675" s="49"/>
      <c r="E675" s="49"/>
    </row>
    <row r="676" customFormat="false" ht="12.75" hidden="false" customHeight="true" outlineLevel="0" collapsed="false">
      <c r="A676" s="48"/>
      <c r="D676" s="49"/>
      <c r="E676" s="49"/>
    </row>
    <row r="677" customFormat="false" ht="12.75" hidden="false" customHeight="true" outlineLevel="0" collapsed="false">
      <c r="A677" s="48"/>
      <c r="D677" s="49"/>
      <c r="E677" s="49"/>
    </row>
    <row r="678" customFormat="false" ht="12.75" hidden="false" customHeight="true" outlineLevel="0" collapsed="false">
      <c r="A678" s="48"/>
      <c r="D678" s="49"/>
      <c r="E678" s="49"/>
    </row>
    <row r="679" customFormat="false" ht="12.75" hidden="false" customHeight="true" outlineLevel="0" collapsed="false">
      <c r="A679" s="48"/>
      <c r="D679" s="49"/>
      <c r="E679" s="49"/>
    </row>
    <row r="680" customFormat="false" ht="12.75" hidden="false" customHeight="true" outlineLevel="0" collapsed="false">
      <c r="A680" s="48"/>
      <c r="D680" s="49"/>
      <c r="E680" s="49"/>
    </row>
    <row r="681" customFormat="false" ht="12.75" hidden="false" customHeight="true" outlineLevel="0" collapsed="false">
      <c r="A681" s="48"/>
      <c r="D681" s="49"/>
      <c r="E681" s="49"/>
    </row>
    <row r="682" customFormat="false" ht="12.75" hidden="false" customHeight="true" outlineLevel="0" collapsed="false">
      <c r="A682" s="48"/>
      <c r="D682" s="49"/>
      <c r="E682" s="49"/>
    </row>
    <row r="683" customFormat="false" ht="12.75" hidden="false" customHeight="true" outlineLevel="0" collapsed="false">
      <c r="A683" s="48"/>
      <c r="D683" s="49"/>
      <c r="E683" s="49"/>
    </row>
    <row r="684" customFormat="false" ht="12.75" hidden="false" customHeight="true" outlineLevel="0" collapsed="false">
      <c r="A684" s="48"/>
      <c r="D684" s="49"/>
      <c r="E684" s="49"/>
    </row>
    <row r="685" customFormat="false" ht="12.75" hidden="false" customHeight="true" outlineLevel="0" collapsed="false">
      <c r="A685" s="48"/>
      <c r="D685" s="49"/>
      <c r="E685" s="49"/>
    </row>
    <row r="686" customFormat="false" ht="12.75" hidden="false" customHeight="true" outlineLevel="0" collapsed="false">
      <c r="A686" s="48"/>
      <c r="D686" s="49"/>
      <c r="E686" s="49"/>
    </row>
    <row r="687" customFormat="false" ht="12.75" hidden="false" customHeight="true" outlineLevel="0" collapsed="false">
      <c r="A687" s="48"/>
      <c r="D687" s="49"/>
      <c r="E687" s="49"/>
    </row>
    <row r="688" customFormat="false" ht="12.75" hidden="false" customHeight="true" outlineLevel="0" collapsed="false">
      <c r="A688" s="48"/>
      <c r="D688" s="49"/>
      <c r="E688" s="49"/>
    </row>
    <row r="689" customFormat="false" ht="12.75" hidden="false" customHeight="true" outlineLevel="0" collapsed="false">
      <c r="A689" s="48"/>
      <c r="D689" s="49"/>
      <c r="E689" s="49"/>
    </row>
    <row r="690" customFormat="false" ht="12.75" hidden="false" customHeight="true" outlineLevel="0" collapsed="false">
      <c r="A690" s="48"/>
      <c r="D690" s="49"/>
      <c r="E690" s="49"/>
    </row>
    <row r="691" customFormat="false" ht="12.75" hidden="false" customHeight="true" outlineLevel="0" collapsed="false">
      <c r="A691" s="48"/>
      <c r="D691" s="49"/>
      <c r="E691" s="49"/>
    </row>
    <row r="692" customFormat="false" ht="12.75" hidden="false" customHeight="true" outlineLevel="0" collapsed="false">
      <c r="A692" s="48"/>
      <c r="D692" s="49"/>
      <c r="E692" s="49"/>
    </row>
    <row r="693" customFormat="false" ht="12.75" hidden="false" customHeight="true" outlineLevel="0" collapsed="false">
      <c r="A693" s="48"/>
      <c r="D693" s="49"/>
      <c r="E693" s="49"/>
    </row>
    <row r="694" customFormat="false" ht="12.75" hidden="false" customHeight="true" outlineLevel="0" collapsed="false">
      <c r="A694" s="48"/>
      <c r="D694" s="49"/>
      <c r="E694" s="49"/>
    </row>
    <row r="695" customFormat="false" ht="12.75" hidden="false" customHeight="true" outlineLevel="0" collapsed="false">
      <c r="A695" s="48"/>
      <c r="D695" s="49"/>
      <c r="E695" s="49"/>
    </row>
    <row r="696" customFormat="false" ht="12.75" hidden="false" customHeight="true" outlineLevel="0" collapsed="false">
      <c r="A696" s="48"/>
      <c r="D696" s="49"/>
      <c r="E696" s="49"/>
    </row>
    <row r="697" customFormat="false" ht="12.75" hidden="false" customHeight="true" outlineLevel="0" collapsed="false">
      <c r="A697" s="48"/>
      <c r="D697" s="49"/>
      <c r="E697" s="49"/>
    </row>
    <row r="698" customFormat="false" ht="12.75" hidden="false" customHeight="true" outlineLevel="0" collapsed="false">
      <c r="A698" s="48"/>
      <c r="D698" s="49"/>
      <c r="E698" s="49"/>
    </row>
    <row r="699" customFormat="false" ht="12.75" hidden="false" customHeight="true" outlineLevel="0" collapsed="false">
      <c r="A699" s="48"/>
      <c r="D699" s="49"/>
      <c r="E699" s="49"/>
    </row>
    <row r="700" customFormat="false" ht="12.75" hidden="false" customHeight="true" outlineLevel="0" collapsed="false">
      <c r="A700" s="48"/>
      <c r="D700" s="49"/>
      <c r="E700" s="49"/>
    </row>
    <row r="701" customFormat="false" ht="12.75" hidden="false" customHeight="true" outlineLevel="0" collapsed="false">
      <c r="A701" s="48"/>
      <c r="D701" s="49"/>
      <c r="E701" s="49"/>
    </row>
    <row r="702" customFormat="false" ht="12.75" hidden="false" customHeight="true" outlineLevel="0" collapsed="false">
      <c r="A702" s="48"/>
      <c r="D702" s="49"/>
      <c r="E702" s="49"/>
    </row>
    <row r="703" customFormat="false" ht="12.75" hidden="false" customHeight="true" outlineLevel="0" collapsed="false">
      <c r="A703" s="48"/>
      <c r="D703" s="49"/>
      <c r="E703" s="49"/>
    </row>
    <row r="704" customFormat="false" ht="12.75" hidden="false" customHeight="true" outlineLevel="0" collapsed="false">
      <c r="A704" s="48"/>
      <c r="D704" s="49"/>
      <c r="E704" s="49"/>
    </row>
    <row r="705" customFormat="false" ht="12.75" hidden="false" customHeight="true" outlineLevel="0" collapsed="false">
      <c r="A705" s="48"/>
      <c r="D705" s="49"/>
      <c r="E705" s="49"/>
    </row>
    <row r="706" customFormat="false" ht="12.75" hidden="false" customHeight="true" outlineLevel="0" collapsed="false">
      <c r="A706" s="48"/>
      <c r="D706" s="49"/>
      <c r="E706" s="49"/>
    </row>
    <row r="707" customFormat="false" ht="12.75" hidden="false" customHeight="true" outlineLevel="0" collapsed="false">
      <c r="A707" s="48"/>
      <c r="D707" s="49"/>
      <c r="E707" s="49"/>
    </row>
    <row r="708" customFormat="false" ht="12.75" hidden="false" customHeight="true" outlineLevel="0" collapsed="false">
      <c r="A708" s="48"/>
      <c r="D708" s="49"/>
      <c r="E708" s="49"/>
    </row>
    <row r="709" customFormat="false" ht="12.75" hidden="false" customHeight="true" outlineLevel="0" collapsed="false">
      <c r="A709" s="48"/>
      <c r="D709" s="49"/>
      <c r="E709" s="49"/>
    </row>
    <row r="710" customFormat="false" ht="12.75" hidden="false" customHeight="true" outlineLevel="0" collapsed="false">
      <c r="A710" s="48"/>
      <c r="D710" s="49"/>
      <c r="E710" s="49"/>
    </row>
    <row r="711" customFormat="false" ht="12.75" hidden="false" customHeight="true" outlineLevel="0" collapsed="false">
      <c r="A711" s="48"/>
      <c r="D711" s="49"/>
      <c r="E711" s="49"/>
    </row>
    <row r="712" customFormat="false" ht="12.75" hidden="false" customHeight="true" outlineLevel="0" collapsed="false">
      <c r="A712" s="48"/>
      <c r="D712" s="49"/>
      <c r="E712" s="49"/>
    </row>
    <row r="713" customFormat="false" ht="12.75" hidden="false" customHeight="true" outlineLevel="0" collapsed="false">
      <c r="A713" s="48"/>
      <c r="D713" s="49"/>
      <c r="E713" s="49"/>
    </row>
    <row r="714" customFormat="false" ht="12.75" hidden="false" customHeight="true" outlineLevel="0" collapsed="false">
      <c r="A714" s="48"/>
      <c r="D714" s="49"/>
      <c r="E714" s="49"/>
    </row>
    <row r="715" customFormat="false" ht="12.75" hidden="false" customHeight="true" outlineLevel="0" collapsed="false">
      <c r="A715" s="48"/>
      <c r="D715" s="49"/>
      <c r="E715" s="49"/>
    </row>
    <row r="716" customFormat="false" ht="12.75" hidden="false" customHeight="true" outlineLevel="0" collapsed="false">
      <c r="A716" s="48"/>
      <c r="D716" s="49"/>
      <c r="E716" s="49"/>
    </row>
    <row r="717" customFormat="false" ht="12.75" hidden="false" customHeight="true" outlineLevel="0" collapsed="false">
      <c r="A717" s="48"/>
      <c r="D717" s="49"/>
      <c r="E717" s="49"/>
    </row>
    <row r="718" customFormat="false" ht="12.75" hidden="false" customHeight="true" outlineLevel="0" collapsed="false">
      <c r="A718" s="48"/>
      <c r="D718" s="49"/>
      <c r="E718" s="49"/>
    </row>
    <row r="719" customFormat="false" ht="12.75" hidden="false" customHeight="true" outlineLevel="0" collapsed="false">
      <c r="A719" s="48"/>
      <c r="D719" s="49"/>
      <c r="E719" s="49"/>
    </row>
    <row r="720" customFormat="false" ht="12.75" hidden="false" customHeight="true" outlineLevel="0" collapsed="false">
      <c r="A720" s="48"/>
      <c r="D720" s="49"/>
      <c r="E720" s="49"/>
    </row>
    <row r="721" customFormat="false" ht="12.75" hidden="false" customHeight="true" outlineLevel="0" collapsed="false">
      <c r="A721" s="48"/>
      <c r="D721" s="49"/>
      <c r="E721" s="49"/>
    </row>
    <row r="722" customFormat="false" ht="12.75" hidden="false" customHeight="true" outlineLevel="0" collapsed="false">
      <c r="A722" s="48"/>
      <c r="D722" s="49"/>
      <c r="E722" s="49"/>
    </row>
    <row r="723" customFormat="false" ht="12.75" hidden="false" customHeight="true" outlineLevel="0" collapsed="false">
      <c r="A723" s="48"/>
      <c r="D723" s="49"/>
      <c r="E723" s="49"/>
    </row>
    <row r="724" customFormat="false" ht="12.75" hidden="false" customHeight="true" outlineLevel="0" collapsed="false">
      <c r="A724" s="48"/>
      <c r="D724" s="49"/>
      <c r="E724" s="49"/>
    </row>
    <row r="725" customFormat="false" ht="12.75" hidden="false" customHeight="true" outlineLevel="0" collapsed="false">
      <c r="A725" s="48"/>
      <c r="D725" s="49"/>
      <c r="E725" s="49"/>
    </row>
    <row r="726" customFormat="false" ht="12.75" hidden="false" customHeight="true" outlineLevel="0" collapsed="false">
      <c r="A726" s="48"/>
      <c r="D726" s="49"/>
      <c r="E726" s="49"/>
    </row>
    <row r="727" customFormat="false" ht="12.75" hidden="false" customHeight="true" outlineLevel="0" collapsed="false">
      <c r="A727" s="48"/>
      <c r="D727" s="49"/>
      <c r="E727" s="49"/>
    </row>
    <row r="728" customFormat="false" ht="12.75" hidden="false" customHeight="true" outlineLevel="0" collapsed="false">
      <c r="A728" s="48"/>
      <c r="D728" s="49"/>
      <c r="E728" s="49"/>
    </row>
    <row r="729" customFormat="false" ht="12.75" hidden="false" customHeight="true" outlineLevel="0" collapsed="false">
      <c r="A729" s="48"/>
      <c r="D729" s="49"/>
      <c r="E729" s="49"/>
    </row>
    <row r="730" customFormat="false" ht="12.75" hidden="false" customHeight="true" outlineLevel="0" collapsed="false">
      <c r="A730" s="48"/>
      <c r="D730" s="49"/>
      <c r="E730" s="49"/>
    </row>
    <row r="731" customFormat="false" ht="12.75" hidden="false" customHeight="true" outlineLevel="0" collapsed="false">
      <c r="A731" s="48"/>
      <c r="D731" s="49"/>
      <c r="E731" s="49"/>
    </row>
    <row r="732" customFormat="false" ht="12.75" hidden="false" customHeight="true" outlineLevel="0" collapsed="false">
      <c r="A732" s="48"/>
      <c r="D732" s="49"/>
      <c r="E732" s="49"/>
    </row>
    <row r="733" customFormat="false" ht="12.75" hidden="false" customHeight="true" outlineLevel="0" collapsed="false">
      <c r="A733" s="48"/>
      <c r="D733" s="49"/>
      <c r="E733" s="49"/>
    </row>
    <row r="734" customFormat="false" ht="12.75" hidden="false" customHeight="true" outlineLevel="0" collapsed="false">
      <c r="A734" s="48"/>
      <c r="D734" s="49"/>
      <c r="E734" s="49"/>
    </row>
    <row r="735" customFormat="false" ht="12.75" hidden="false" customHeight="true" outlineLevel="0" collapsed="false">
      <c r="A735" s="48"/>
      <c r="D735" s="49"/>
      <c r="E735" s="49"/>
    </row>
    <row r="736" customFormat="false" ht="12.75" hidden="false" customHeight="true" outlineLevel="0" collapsed="false">
      <c r="A736" s="48"/>
      <c r="D736" s="49"/>
      <c r="E736" s="49"/>
    </row>
    <row r="737" customFormat="false" ht="12.75" hidden="false" customHeight="true" outlineLevel="0" collapsed="false">
      <c r="A737" s="48"/>
      <c r="D737" s="49"/>
      <c r="E737" s="49"/>
    </row>
    <row r="738" customFormat="false" ht="12.75" hidden="false" customHeight="true" outlineLevel="0" collapsed="false">
      <c r="A738" s="48"/>
      <c r="D738" s="49"/>
      <c r="E738" s="49"/>
    </row>
    <row r="739" customFormat="false" ht="12.75" hidden="false" customHeight="true" outlineLevel="0" collapsed="false">
      <c r="A739" s="48"/>
      <c r="D739" s="49"/>
      <c r="E739" s="49"/>
    </row>
    <row r="740" customFormat="false" ht="12.75" hidden="false" customHeight="true" outlineLevel="0" collapsed="false">
      <c r="A740" s="48"/>
      <c r="D740" s="49"/>
      <c r="E740" s="49"/>
    </row>
    <row r="741" customFormat="false" ht="12.75" hidden="false" customHeight="true" outlineLevel="0" collapsed="false">
      <c r="A741" s="48"/>
      <c r="D741" s="49"/>
      <c r="E741" s="49"/>
    </row>
    <row r="742" customFormat="false" ht="12.75" hidden="false" customHeight="true" outlineLevel="0" collapsed="false">
      <c r="A742" s="48"/>
      <c r="D742" s="49"/>
      <c r="E742" s="49"/>
    </row>
    <row r="743" customFormat="false" ht="12.75" hidden="false" customHeight="true" outlineLevel="0" collapsed="false">
      <c r="A743" s="48"/>
      <c r="D743" s="49"/>
      <c r="E743" s="49"/>
    </row>
    <row r="744" customFormat="false" ht="12.75" hidden="false" customHeight="true" outlineLevel="0" collapsed="false">
      <c r="A744" s="48"/>
      <c r="D744" s="49"/>
      <c r="E744" s="49"/>
    </row>
    <row r="745" customFormat="false" ht="12.75" hidden="false" customHeight="true" outlineLevel="0" collapsed="false">
      <c r="A745" s="48"/>
      <c r="D745" s="49"/>
      <c r="E745" s="49"/>
    </row>
    <row r="746" customFormat="false" ht="12.75" hidden="false" customHeight="true" outlineLevel="0" collapsed="false">
      <c r="A746" s="48"/>
      <c r="D746" s="49"/>
      <c r="E746" s="49"/>
    </row>
    <row r="747" customFormat="false" ht="12.75" hidden="false" customHeight="true" outlineLevel="0" collapsed="false">
      <c r="A747" s="48"/>
      <c r="D747" s="49"/>
      <c r="E747" s="49"/>
    </row>
    <row r="748" customFormat="false" ht="12.75" hidden="false" customHeight="true" outlineLevel="0" collapsed="false">
      <c r="A748" s="48"/>
      <c r="D748" s="49"/>
      <c r="E748" s="49"/>
    </row>
    <row r="749" customFormat="false" ht="12.75" hidden="false" customHeight="true" outlineLevel="0" collapsed="false">
      <c r="A749" s="48"/>
      <c r="D749" s="49"/>
      <c r="E749" s="49"/>
    </row>
    <row r="750" customFormat="false" ht="12.75" hidden="false" customHeight="true" outlineLevel="0" collapsed="false">
      <c r="A750" s="48"/>
      <c r="D750" s="49"/>
      <c r="E750" s="49"/>
    </row>
    <row r="751" customFormat="false" ht="12.75" hidden="false" customHeight="true" outlineLevel="0" collapsed="false">
      <c r="A751" s="48"/>
      <c r="D751" s="49"/>
      <c r="E751" s="49"/>
    </row>
    <row r="752" customFormat="false" ht="12.75" hidden="false" customHeight="true" outlineLevel="0" collapsed="false">
      <c r="A752" s="48"/>
      <c r="D752" s="49"/>
      <c r="E752" s="49"/>
    </row>
    <row r="753" customFormat="false" ht="12.75" hidden="false" customHeight="true" outlineLevel="0" collapsed="false">
      <c r="A753" s="48"/>
      <c r="D753" s="49"/>
      <c r="E753" s="49"/>
    </row>
    <row r="754" customFormat="false" ht="12.75" hidden="false" customHeight="true" outlineLevel="0" collapsed="false">
      <c r="A754" s="48"/>
      <c r="D754" s="49"/>
      <c r="E754" s="49"/>
    </row>
    <row r="755" customFormat="false" ht="12.75" hidden="false" customHeight="true" outlineLevel="0" collapsed="false">
      <c r="A755" s="48"/>
      <c r="D755" s="49"/>
      <c r="E755" s="49"/>
    </row>
    <row r="756" customFormat="false" ht="12.75" hidden="false" customHeight="true" outlineLevel="0" collapsed="false">
      <c r="A756" s="48"/>
      <c r="D756" s="49"/>
      <c r="E756" s="49"/>
    </row>
    <row r="757" customFormat="false" ht="12.75" hidden="false" customHeight="true" outlineLevel="0" collapsed="false">
      <c r="A757" s="48"/>
      <c r="D757" s="49"/>
      <c r="E757" s="49"/>
    </row>
    <row r="758" customFormat="false" ht="12.75" hidden="false" customHeight="true" outlineLevel="0" collapsed="false">
      <c r="A758" s="48"/>
      <c r="D758" s="49"/>
      <c r="E758" s="49"/>
    </row>
    <row r="759" customFormat="false" ht="12.75" hidden="false" customHeight="true" outlineLevel="0" collapsed="false">
      <c r="A759" s="48"/>
      <c r="D759" s="49"/>
      <c r="E759" s="49"/>
    </row>
    <row r="760" customFormat="false" ht="12.75" hidden="false" customHeight="true" outlineLevel="0" collapsed="false">
      <c r="A760" s="48"/>
      <c r="D760" s="49"/>
      <c r="E760" s="49"/>
    </row>
    <row r="761" customFormat="false" ht="12.75" hidden="false" customHeight="true" outlineLevel="0" collapsed="false">
      <c r="A761" s="48"/>
      <c r="D761" s="49"/>
      <c r="E761" s="49"/>
    </row>
    <row r="762" customFormat="false" ht="12.75" hidden="false" customHeight="true" outlineLevel="0" collapsed="false">
      <c r="A762" s="48"/>
      <c r="D762" s="49"/>
      <c r="E762" s="49"/>
    </row>
    <row r="763" customFormat="false" ht="12.75" hidden="false" customHeight="true" outlineLevel="0" collapsed="false">
      <c r="A763" s="48"/>
      <c r="D763" s="49"/>
      <c r="E763" s="49"/>
    </row>
    <row r="764" customFormat="false" ht="12.75" hidden="false" customHeight="true" outlineLevel="0" collapsed="false">
      <c r="A764" s="48"/>
      <c r="D764" s="49"/>
      <c r="E764" s="49"/>
    </row>
    <row r="765" customFormat="false" ht="12.75" hidden="false" customHeight="true" outlineLevel="0" collapsed="false">
      <c r="A765" s="48"/>
      <c r="D765" s="49"/>
      <c r="E765" s="49"/>
    </row>
    <row r="766" customFormat="false" ht="12.75" hidden="false" customHeight="true" outlineLevel="0" collapsed="false">
      <c r="A766" s="48"/>
      <c r="D766" s="49"/>
      <c r="E766" s="49"/>
    </row>
    <row r="767" customFormat="false" ht="12.75" hidden="false" customHeight="true" outlineLevel="0" collapsed="false">
      <c r="A767" s="48"/>
      <c r="D767" s="49"/>
      <c r="E767" s="49"/>
    </row>
    <row r="768" customFormat="false" ht="12.75" hidden="false" customHeight="true" outlineLevel="0" collapsed="false">
      <c r="A768" s="48"/>
      <c r="D768" s="49"/>
      <c r="E768" s="49"/>
    </row>
    <row r="769" customFormat="false" ht="12.75" hidden="false" customHeight="true" outlineLevel="0" collapsed="false">
      <c r="A769" s="48"/>
      <c r="D769" s="49"/>
      <c r="E769" s="49"/>
    </row>
    <row r="770" customFormat="false" ht="12.75" hidden="false" customHeight="true" outlineLevel="0" collapsed="false">
      <c r="A770" s="48"/>
      <c r="D770" s="49"/>
      <c r="E770" s="49"/>
    </row>
    <row r="771" customFormat="false" ht="12.75" hidden="false" customHeight="true" outlineLevel="0" collapsed="false">
      <c r="A771" s="48"/>
      <c r="D771" s="49"/>
      <c r="E771" s="49"/>
    </row>
    <row r="772" customFormat="false" ht="12.75" hidden="false" customHeight="true" outlineLevel="0" collapsed="false">
      <c r="A772" s="48"/>
      <c r="D772" s="49"/>
      <c r="E772" s="49"/>
    </row>
    <row r="773" customFormat="false" ht="12.75" hidden="false" customHeight="true" outlineLevel="0" collapsed="false">
      <c r="A773" s="48"/>
      <c r="D773" s="49"/>
      <c r="E773" s="49"/>
    </row>
    <row r="774" customFormat="false" ht="12.75" hidden="false" customHeight="true" outlineLevel="0" collapsed="false">
      <c r="A774" s="48"/>
      <c r="D774" s="49"/>
      <c r="E774" s="49"/>
    </row>
    <row r="775" customFormat="false" ht="12.75" hidden="false" customHeight="true" outlineLevel="0" collapsed="false">
      <c r="A775" s="48"/>
      <c r="D775" s="49"/>
      <c r="E775" s="49"/>
    </row>
    <row r="776" customFormat="false" ht="12.75" hidden="false" customHeight="true" outlineLevel="0" collapsed="false">
      <c r="A776" s="48"/>
      <c r="D776" s="49"/>
      <c r="E776" s="49"/>
    </row>
    <row r="777" customFormat="false" ht="12.75" hidden="false" customHeight="true" outlineLevel="0" collapsed="false">
      <c r="A777" s="48"/>
      <c r="D777" s="49"/>
      <c r="E777" s="49"/>
    </row>
    <row r="778" customFormat="false" ht="12.75" hidden="false" customHeight="true" outlineLevel="0" collapsed="false">
      <c r="A778" s="48"/>
      <c r="D778" s="49"/>
      <c r="E778" s="49"/>
    </row>
    <row r="779" customFormat="false" ht="12.75" hidden="false" customHeight="true" outlineLevel="0" collapsed="false">
      <c r="A779" s="48"/>
      <c r="D779" s="49"/>
      <c r="E779" s="49"/>
    </row>
    <row r="780" customFormat="false" ht="12.75" hidden="false" customHeight="true" outlineLevel="0" collapsed="false">
      <c r="A780" s="48"/>
      <c r="D780" s="49"/>
      <c r="E780" s="49"/>
    </row>
    <row r="781" customFormat="false" ht="12.75" hidden="false" customHeight="true" outlineLevel="0" collapsed="false">
      <c r="A781" s="48"/>
      <c r="D781" s="49"/>
      <c r="E781" s="49"/>
    </row>
    <row r="782" customFormat="false" ht="12.75" hidden="false" customHeight="true" outlineLevel="0" collapsed="false">
      <c r="A782" s="48"/>
      <c r="D782" s="49"/>
      <c r="E782" s="49"/>
    </row>
    <row r="783" customFormat="false" ht="12.75" hidden="false" customHeight="true" outlineLevel="0" collapsed="false">
      <c r="A783" s="48"/>
      <c r="D783" s="49"/>
      <c r="E783" s="49"/>
    </row>
    <row r="784" customFormat="false" ht="12.75" hidden="false" customHeight="true" outlineLevel="0" collapsed="false">
      <c r="A784" s="48"/>
      <c r="D784" s="49"/>
      <c r="E784" s="49"/>
    </row>
    <row r="785" customFormat="false" ht="12.75" hidden="false" customHeight="true" outlineLevel="0" collapsed="false">
      <c r="A785" s="48"/>
      <c r="D785" s="49"/>
      <c r="E785" s="49"/>
    </row>
    <row r="786" customFormat="false" ht="12.75" hidden="false" customHeight="true" outlineLevel="0" collapsed="false">
      <c r="A786" s="48"/>
      <c r="D786" s="49"/>
      <c r="E786" s="49"/>
    </row>
    <row r="787" customFormat="false" ht="12.75" hidden="false" customHeight="true" outlineLevel="0" collapsed="false">
      <c r="A787" s="48"/>
      <c r="D787" s="49"/>
      <c r="E787" s="49"/>
    </row>
    <row r="788" customFormat="false" ht="12.75" hidden="false" customHeight="true" outlineLevel="0" collapsed="false">
      <c r="A788" s="48"/>
      <c r="D788" s="49"/>
      <c r="E788" s="49"/>
    </row>
    <row r="789" customFormat="false" ht="12.75" hidden="false" customHeight="true" outlineLevel="0" collapsed="false">
      <c r="A789" s="48"/>
      <c r="D789" s="49"/>
      <c r="E789" s="49"/>
    </row>
    <row r="790" customFormat="false" ht="12.75" hidden="false" customHeight="true" outlineLevel="0" collapsed="false">
      <c r="A790" s="48"/>
      <c r="D790" s="49"/>
      <c r="E790" s="49"/>
    </row>
    <row r="791" customFormat="false" ht="12.75" hidden="false" customHeight="true" outlineLevel="0" collapsed="false">
      <c r="A791" s="48"/>
      <c r="D791" s="49"/>
      <c r="E791" s="49"/>
    </row>
    <row r="792" customFormat="false" ht="12.75" hidden="false" customHeight="true" outlineLevel="0" collapsed="false">
      <c r="A792" s="48"/>
      <c r="D792" s="49"/>
      <c r="E792" s="49"/>
    </row>
    <row r="793" customFormat="false" ht="12.75" hidden="false" customHeight="true" outlineLevel="0" collapsed="false">
      <c r="A793" s="48"/>
      <c r="D793" s="49"/>
      <c r="E793" s="49"/>
    </row>
    <row r="794" customFormat="false" ht="12.75" hidden="false" customHeight="true" outlineLevel="0" collapsed="false">
      <c r="A794" s="48"/>
      <c r="D794" s="49"/>
      <c r="E794" s="49"/>
    </row>
    <row r="795" customFormat="false" ht="12.75" hidden="false" customHeight="true" outlineLevel="0" collapsed="false">
      <c r="A795" s="48"/>
      <c r="D795" s="49"/>
      <c r="E795" s="49"/>
    </row>
    <row r="796" customFormat="false" ht="12.75" hidden="false" customHeight="true" outlineLevel="0" collapsed="false">
      <c r="A796" s="48"/>
      <c r="D796" s="49"/>
      <c r="E796" s="49"/>
    </row>
    <row r="797" customFormat="false" ht="12.75" hidden="false" customHeight="true" outlineLevel="0" collapsed="false">
      <c r="A797" s="48"/>
      <c r="D797" s="49"/>
      <c r="E797" s="49"/>
    </row>
    <row r="798" customFormat="false" ht="12.75" hidden="false" customHeight="true" outlineLevel="0" collapsed="false">
      <c r="A798" s="48"/>
      <c r="D798" s="49"/>
      <c r="E798" s="49"/>
    </row>
    <row r="799" customFormat="false" ht="12.75" hidden="false" customHeight="true" outlineLevel="0" collapsed="false">
      <c r="A799" s="48"/>
      <c r="D799" s="49"/>
      <c r="E799" s="49"/>
    </row>
    <row r="800" customFormat="false" ht="12.75" hidden="false" customHeight="true" outlineLevel="0" collapsed="false">
      <c r="A800" s="48"/>
      <c r="D800" s="49"/>
      <c r="E800" s="49"/>
    </row>
    <row r="801" customFormat="false" ht="12.75" hidden="false" customHeight="true" outlineLevel="0" collapsed="false">
      <c r="A801" s="48"/>
      <c r="D801" s="49"/>
      <c r="E801" s="49"/>
    </row>
    <row r="802" customFormat="false" ht="12.75" hidden="false" customHeight="true" outlineLevel="0" collapsed="false">
      <c r="A802" s="48"/>
      <c r="D802" s="49"/>
      <c r="E802" s="49"/>
    </row>
    <row r="803" customFormat="false" ht="12.75" hidden="false" customHeight="true" outlineLevel="0" collapsed="false">
      <c r="A803" s="48"/>
      <c r="D803" s="49"/>
      <c r="E803" s="49"/>
    </row>
    <row r="804" customFormat="false" ht="12.75" hidden="false" customHeight="true" outlineLevel="0" collapsed="false">
      <c r="A804" s="48"/>
      <c r="D804" s="49"/>
      <c r="E804" s="49"/>
    </row>
    <row r="805" customFormat="false" ht="12.75" hidden="false" customHeight="true" outlineLevel="0" collapsed="false">
      <c r="A805" s="48"/>
      <c r="D805" s="49"/>
      <c r="E805" s="49"/>
    </row>
    <row r="806" customFormat="false" ht="12.75" hidden="false" customHeight="true" outlineLevel="0" collapsed="false">
      <c r="A806" s="48"/>
      <c r="D806" s="49"/>
      <c r="E806" s="49"/>
    </row>
    <row r="807" customFormat="false" ht="12.75" hidden="false" customHeight="true" outlineLevel="0" collapsed="false">
      <c r="A807" s="48"/>
      <c r="D807" s="49"/>
      <c r="E807" s="49"/>
    </row>
    <row r="808" customFormat="false" ht="12.75" hidden="false" customHeight="true" outlineLevel="0" collapsed="false">
      <c r="A808" s="48"/>
      <c r="D808" s="49"/>
      <c r="E808" s="49"/>
    </row>
    <row r="809" customFormat="false" ht="12.75" hidden="false" customHeight="true" outlineLevel="0" collapsed="false">
      <c r="A809" s="48"/>
      <c r="D809" s="49"/>
      <c r="E809" s="49"/>
    </row>
    <row r="810" customFormat="false" ht="12.75" hidden="false" customHeight="true" outlineLevel="0" collapsed="false">
      <c r="A810" s="48"/>
      <c r="D810" s="49"/>
      <c r="E810" s="49"/>
    </row>
    <row r="811" customFormat="false" ht="12.75" hidden="false" customHeight="true" outlineLevel="0" collapsed="false">
      <c r="A811" s="48"/>
      <c r="D811" s="49"/>
      <c r="E811" s="49"/>
    </row>
    <row r="812" customFormat="false" ht="12.75" hidden="false" customHeight="true" outlineLevel="0" collapsed="false">
      <c r="A812" s="48"/>
      <c r="D812" s="49"/>
      <c r="E812" s="49"/>
    </row>
    <row r="813" customFormat="false" ht="12.75" hidden="false" customHeight="true" outlineLevel="0" collapsed="false">
      <c r="A813" s="48"/>
      <c r="D813" s="49"/>
      <c r="E813" s="49"/>
    </row>
    <row r="814" customFormat="false" ht="12.75" hidden="false" customHeight="true" outlineLevel="0" collapsed="false">
      <c r="A814" s="48"/>
      <c r="D814" s="49"/>
      <c r="E814" s="49"/>
    </row>
    <row r="815" customFormat="false" ht="12.75" hidden="false" customHeight="true" outlineLevel="0" collapsed="false">
      <c r="A815" s="48"/>
      <c r="D815" s="49"/>
      <c r="E815" s="49"/>
    </row>
    <row r="816" customFormat="false" ht="12.75" hidden="false" customHeight="true" outlineLevel="0" collapsed="false">
      <c r="A816" s="48"/>
      <c r="D816" s="49"/>
      <c r="E816" s="49"/>
    </row>
    <row r="817" customFormat="false" ht="12.75" hidden="false" customHeight="true" outlineLevel="0" collapsed="false">
      <c r="A817" s="48"/>
      <c r="D817" s="49"/>
      <c r="E817" s="49"/>
    </row>
    <row r="818" customFormat="false" ht="12.75" hidden="false" customHeight="true" outlineLevel="0" collapsed="false">
      <c r="A818" s="48"/>
      <c r="D818" s="49"/>
      <c r="E818" s="49"/>
    </row>
    <row r="819" customFormat="false" ht="12.75" hidden="false" customHeight="true" outlineLevel="0" collapsed="false">
      <c r="A819" s="48"/>
      <c r="D819" s="49"/>
      <c r="E819" s="49"/>
    </row>
    <row r="820" customFormat="false" ht="12.75" hidden="false" customHeight="true" outlineLevel="0" collapsed="false">
      <c r="A820" s="48"/>
      <c r="D820" s="49"/>
      <c r="E820" s="49"/>
    </row>
    <row r="821" customFormat="false" ht="12.75" hidden="false" customHeight="true" outlineLevel="0" collapsed="false">
      <c r="A821" s="48"/>
      <c r="D821" s="49"/>
      <c r="E821" s="49"/>
    </row>
    <row r="822" customFormat="false" ht="12.75" hidden="false" customHeight="true" outlineLevel="0" collapsed="false">
      <c r="A822" s="48"/>
      <c r="D822" s="49"/>
      <c r="E822" s="49"/>
    </row>
    <row r="823" customFormat="false" ht="12.75" hidden="false" customHeight="true" outlineLevel="0" collapsed="false">
      <c r="A823" s="48"/>
      <c r="D823" s="49"/>
      <c r="E823" s="49"/>
    </row>
    <row r="824" customFormat="false" ht="12.75" hidden="false" customHeight="true" outlineLevel="0" collapsed="false">
      <c r="A824" s="48"/>
      <c r="D824" s="49"/>
      <c r="E824" s="49"/>
    </row>
    <row r="825" customFormat="false" ht="12.75" hidden="false" customHeight="true" outlineLevel="0" collapsed="false">
      <c r="A825" s="48"/>
      <c r="D825" s="49"/>
      <c r="E825" s="49"/>
    </row>
    <row r="826" customFormat="false" ht="12.75" hidden="false" customHeight="true" outlineLevel="0" collapsed="false">
      <c r="A826" s="48"/>
      <c r="D826" s="49"/>
      <c r="E826" s="49"/>
    </row>
    <row r="827" customFormat="false" ht="12.75" hidden="false" customHeight="true" outlineLevel="0" collapsed="false">
      <c r="A827" s="48"/>
      <c r="D827" s="49"/>
      <c r="E827" s="49"/>
    </row>
    <row r="828" customFormat="false" ht="12.75" hidden="false" customHeight="true" outlineLevel="0" collapsed="false">
      <c r="A828" s="48"/>
      <c r="D828" s="49"/>
      <c r="E828" s="49"/>
    </row>
    <row r="829" customFormat="false" ht="12.75" hidden="false" customHeight="true" outlineLevel="0" collapsed="false">
      <c r="A829" s="48"/>
      <c r="D829" s="49"/>
      <c r="E829" s="49"/>
    </row>
    <row r="830" customFormat="false" ht="12.75" hidden="false" customHeight="true" outlineLevel="0" collapsed="false">
      <c r="A830" s="48"/>
      <c r="D830" s="49"/>
      <c r="E830" s="49"/>
    </row>
    <row r="831" customFormat="false" ht="12.75" hidden="false" customHeight="true" outlineLevel="0" collapsed="false">
      <c r="A831" s="48"/>
      <c r="D831" s="49"/>
      <c r="E831" s="49"/>
    </row>
    <row r="832" customFormat="false" ht="12.75" hidden="false" customHeight="true" outlineLevel="0" collapsed="false">
      <c r="A832" s="48"/>
      <c r="D832" s="49"/>
      <c r="E832" s="49"/>
    </row>
    <row r="833" customFormat="false" ht="12.75" hidden="false" customHeight="true" outlineLevel="0" collapsed="false">
      <c r="A833" s="48"/>
      <c r="D833" s="49"/>
      <c r="E833" s="49"/>
    </row>
    <row r="834" customFormat="false" ht="12.75" hidden="false" customHeight="true" outlineLevel="0" collapsed="false">
      <c r="A834" s="48"/>
      <c r="D834" s="49"/>
      <c r="E834" s="49"/>
    </row>
    <row r="835" customFormat="false" ht="12.75" hidden="false" customHeight="true" outlineLevel="0" collapsed="false">
      <c r="A835" s="48"/>
      <c r="D835" s="49"/>
      <c r="E835" s="49"/>
    </row>
    <row r="836" customFormat="false" ht="12.75" hidden="false" customHeight="true" outlineLevel="0" collapsed="false">
      <c r="A836" s="48"/>
      <c r="D836" s="49"/>
      <c r="E836" s="49"/>
    </row>
    <row r="837" customFormat="false" ht="12.75" hidden="false" customHeight="true" outlineLevel="0" collapsed="false">
      <c r="A837" s="48"/>
      <c r="D837" s="49"/>
      <c r="E837" s="49"/>
    </row>
    <row r="838" customFormat="false" ht="12.75" hidden="false" customHeight="true" outlineLevel="0" collapsed="false">
      <c r="A838" s="48"/>
      <c r="D838" s="49"/>
      <c r="E838" s="49"/>
    </row>
    <row r="839" customFormat="false" ht="12.75" hidden="false" customHeight="true" outlineLevel="0" collapsed="false">
      <c r="A839" s="48"/>
      <c r="D839" s="49"/>
      <c r="E839" s="49"/>
    </row>
    <row r="840" customFormat="false" ht="12.75" hidden="false" customHeight="true" outlineLevel="0" collapsed="false">
      <c r="A840" s="48"/>
      <c r="D840" s="49"/>
      <c r="E840" s="49"/>
    </row>
    <row r="841" customFormat="false" ht="12.75" hidden="false" customHeight="true" outlineLevel="0" collapsed="false">
      <c r="A841" s="48"/>
      <c r="D841" s="49"/>
      <c r="E841" s="49"/>
    </row>
    <row r="842" customFormat="false" ht="12.75" hidden="false" customHeight="true" outlineLevel="0" collapsed="false">
      <c r="A842" s="48"/>
      <c r="D842" s="49"/>
      <c r="E842" s="49"/>
    </row>
    <row r="843" customFormat="false" ht="12.75" hidden="false" customHeight="true" outlineLevel="0" collapsed="false">
      <c r="A843" s="48"/>
      <c r="D843" s="49"/>
      <c r="E843" s="49"/>
    </row>
    <row r="844" customFormat="false" ht="12.75" hidden="false" customHeight="true" outlineLevel="0" collapsed="false">
      <c r="A844" s="48"/>
      <c r="D844" s="49"/>
      <c r="E844" s="49"/>
    </row>
    <row r="845" customFormat="false" ht="12.75" hidden="false" customHeight="true" outlineLevel="0" collapsed="false">
      <c r="A845" s="48"/>
      <c r="D845" s="49"/>
      <c r="E845" s="49"/>
    </row>
  </sheetData>
  <autoFilter ref="A1:W293"/>
  <conditionalFormatting sqref="A5:A128 A130:A167 A169:A845">
    <cfRule type="expression" priority="2" aboveAverage="0" equalAverage="0" bottom="0" percent="0" rank="0" text="" dxfId="10">
      <formula>LEN(TRIM(A5))&gt;0</formula>
    </cfRule>
  </conditionalFormatting>
  <conditionalFormatting sqref="T5:T125 T127:T187 T189:T197 T200:T224 V9 V221:V222">
    <cfRule type="expression" priority="3" aboveAverage="0" equalAverage="0" bottom="0" percent="0" rank="0" text="" dxfId="11">
      <formula>LEN(TRIM(T5))&gt;0</formula>
    </cfRule>
  </conditionalFormatting>
  <dataValidations count="5">
    <dataValidation allowBlank="true" errorStyle="stop" operator="between" showDropDown="false" showErrorMessage="true" showInputMessage="true" sqref="C2:C1224" type="list">
      <formula1>"Confidentiality,Integrity,Availability"</formula1>
      <formula2>0</formula2>
    </dataValidation>
    <dataValidation allowBlank="true" errorStyle="stop" operator="between" showDropDown="false" showErrorMessage="true" showInputMessage="false" sqref="F2:F224" type="list">
      <formula1>"Physical,Local,Adjacent,Network"</formula1>
      <formula2>0</formula2>
    </dataValidation>
    <dataValidation allowBlank="true" errorStyle="stop" operator="between" showDropDown="false" showErrorMessage="true" showInputMessage="false" sqref="H2:H224 J2:J224 L2:L224 N2:N224" type="list">
      <formula1>"Negligible,Moderate,Major,Severe"</formula1>
      <formula2>0</formula2>
    </dataValidation>
    <dataValidation allowBlank="true" errorStyle="stop" operator="between" showDropDown="false" showErrorMessage="true" showInputMessage="false" sqref="S2:S224" type="list">
      <formula1>"Avoidance,Mitigation,Acceptance,Transfer"</formula1>
      <formula2>0</formula2>
    </dataValidation>
    <dataValidation allowBlank="true" errorStyle="stop" operator="between" showDropDown="false" showErrorMessage="true" showInputMessage="true" sqref="B1:B16" type="list">
      <formula1>"Spoofing,Tampering,Repudiation,Information disclosure,Denial of service,Elevation of privilege"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13" activeCellId="0" sqref="D13"/>
    </sheetView>
  </sheetViews>
  <sheetFormatPr defaultColWidth="12.71484375" defaultRowHeight="15.75" zeroHeight="false" outlineLevelRow="0" outlineLevelCol="0"/>
  <cols>
    <col collapsed="false" customWidth="true" hidden="false" outlineLevel="0" max="1" min="1" style="0" width="24.42"/>
    <col collapsed="false" customWidth="true" hidden="false" outlineLevel="0" max="2" min="2" style="0" width="44.42"/>
    <col collapsed="false" customWidth="true" hidden="false" outlineLevel="0" max="3" min="3" style="0" width="19"/>
    <col collapsed="false" customWidth="true" hidden="false" outlineLevel="0" max="4" min="4" style="0" width="14.42"/>
    <col collapsed="false" customWidth="true" hidden="false" outlineLevel="0" max="5" min="5" style="0" width="27"/>
    <col collapsed="false" customWidth="true" hidden="false" outlineLevel="0" max="6" min="6" style="0" width="7.42"/>
    <col collapsed="false" customWidth="true" hidden="false" outlineLevel="0" max="7" min="7" style="0" width="13.29"/>
    <col collapsed="false" customWidth="true" hidden="false" outlineLevel="0" max="8" min="8" style="0" width="15"/>
    <col collapsed="false" customWidth="true" hidden="false" outlineLevel="0" max="26" min="9" style="0" width="12.42"/>
  </cols>
  <sheetData>
    <row r="1" customFormat="false" ht="15" hidden="false" customHeight="true" outlineLevel="0" collapsed="false">
      <c r="A1" s="50" t="s">
        <v>435</v>
      </c>
      <c r="B1" s="50" t="s">
        <v>436</v>
      </c>
      <c r="C1" s="51"/>
      <c r="D1" s="52" t="s">
        <v>437</v>
      </c>
      <c r="E1" s="50" t="s">
        <v>438</v>
      </c>
      <c r="F1" s="23"/>
      <c r="G1" s="50" t="s">
        <v>439</v>
      </c>
      <c r="H1" s="50" t="s">
        <v>440</v>
      </c>
    </row>
    <row r="2" customFormat="false" ht="12.75" hidden="false" customHeight="true" outlineLevel="0" collapsed="false">
      <c r="A2" s="53" t="s">
        <v>441</v>
      </c>
      <c r="B2" s="54" t="n">
        <v>5</v>
      </c>
      <c r="C2" s="55"/>
      <c r="D2" s="56" t="n">
        <v>100</v>
      </c>
      <c r="E2" s="56" t="s">
        <v>442</v>
      </c>
      <c r="F2" s="23"/>
      <c r="G2" s="56" t="s">
        <v>52</v>
      </c>
      <c r="H2" s="54" t="n">
        <v>8.3</v>
      </c>
    </row>
    <row r="3" customFormat="false" ht="12.75" hidden="false" customHeight="true" outlineLevel="0" collapsed="false">
      <c r="A3" s="53" t="s">
        <v>443</v>
      </c>
      <c r="B3" s="54" t="n">
        <v>1</v>
      </c>
      <c r="C3" s="55"/>
      <c r="D3" s="56" t="n">
        <v>49</v>
      </c>
      <c r="E3" s="56" t="s">
        <v>444</v>
      </c>
      <c r="F3" s="23"/>
      <c r="G3" s="56" t="s">
        <v>55</v>
      </c>
      <c r="H3" s="54" t="n">
        <v>5.1</v>
      </c>
    </row>
    <row r="4" customFormat="false" ht="12.75" hidden="false" customHeight="true" outlineLevel="0" collapsed="false">
      <c r="A4" s="53" t="s">
        <v>445</v>
      </c>
      <c r="B4" s="54" t="n">
        <v>0.5</v>
      </c>
      <c r="C4" s="55"/>
      <c r="D4" s="56" t="n">
        <v>16</v>
      </c>
      <c r="E4" s="56" t="s">
        <v>446</v>
      </c>
      <c r="F4" s="23"/>
      <c r="G4" s="56" t="s">
        <v>39</v>
      </c>
      <c r="H4" s="54" t="n">
        <v>2.5</v>
      </c>
    </row>
    <row r="5" customFormat="false" ht="12.75" hidden="false" customHeight="true" outlineLevel="0" collapsed="false">
      <c r="A5" s="53" t="s">
        <v>447</v>
      </c>
      <c r="B5" s="54" t="n">
        <v>0.25</v>
      </c>
      <c r="C5" s="55"/>
      <c r="D5" s="56" t="n">
        <v>1</v>
      </c>
      <c r="E5" s="56" t="s">
        <v>448</v>
      </c>
      <c r="F5" s="23"/>
      <c r="G5" s="56" t="s">
        <v>37</v>
      </c>
      <c r="H5" s="54" t="n">
        <v>1</v>
      </c>
    </row>
    <row r="6" customFormat="false" ht="12.75" hidden="false" customHeight="true" outlineLevel="0" collapsed="false">
      <c r="A6" s="57"/>
      <c r="B6" s="55"/>
      <c r="C6" s="55"/>
      <c r="D6" s="56" t="n">
        <v>0</v>
      </c>
      <c r="E6" s="56" t="s">
        <v>449</v>
      </c>
      <c r="F6" s="23"/>
      <c r="G6" s="23"/>
      <c r="H6" s="23"/>
    </row>
    <row r="7" customFormat="false" ht="12.75" hidden="false" customHeight="true" outlineLevel="0" collapsed="false">
      <c r="A7" s="58" t="s">
        <v>450</v>
      </c>
      <c r="B7" s="59"/>
      <c r="C7" s="59"/>
      <c r="D7" s="55"/>
      <c r="E7" s="55"/>
      <c r="F7" s="23"/>
      <c r="G7" s="23"/>
      <c r="H7" s="23"/>
    </row>
    <row r="8" customFormat="false" ht="12.75" hidden="false" customHeight="true" outlineLevel="0" collapsed="false">
      <c r="A8" s="60" t="s">
        <v>439</v>
      </c>
      <c r="B8" s="50" t="s">
        <v>451</v>
      </c>
      <c r="C8" s="50" t="s">
        <v>452</v>
      </c>
      <c r="D8" s="55"/>
      <c r="E8" s="55"/>
      <c r="F8" s="23"/>
      <c r="G8" s="23"/>
      <c r="H8" s="23"/>
    </row>
    <row r="9" customFormat="false" ht="26.25" hidden="false" customHeight="true" outlineLevel="0" collapsed="false">
      <c r="A9" s="58" t="s">
        <v>52</v>
      </c>
      <c r="B9" s="59" t="s">
        <v>453</v>
      </c>
      <c r="C9" s="58" t="n">
        <v>10</v>
      </c>
      <c r="D9" s="55"/>
      <c r="E9" s="55"/>
      <c r="F9" s="23"/>
      <c r="G9" s="61" t="s">
        <v>454</v>
      </c>
      <c r="H9" s="47"/>
      <c r="I9" s="47"/>
      <c r="J9" s="47"/>
      <c r="K9" s="47"/>
      <c r="L9" s="47"/>
    </row>
    <row r="10" customFormat="false" ht="27" hidden="false" customHeight="true" outlineLevel="0" collapsed="false">
      <c r="A10" s="58" t="s">
        <v>55</v>
      </c>
      <c r="B10" s="59" t="s">
        <v>455</v>
      </c>
      <c r="C10" s="58" t="n">
        <v>7</v>
      </c>
      <c r="D10" s="55"/>
      <c r="E10" s="62" t="s">
        <v>456</v>
      </c>
      <c r="F10" s="23"/>
      <c r="G10" s="63" t="s">
        <v>448</v>
      </c>
      <c r="H10" s="63" t="s">
        <v>448</v>
      </c>
      <c r="I10" s="63" t="s">
        <v>448</v>
      </c>
      <c r="J10" s="64" t="s">
        <v>446</v>
      </c>
      <c r="K10" s="65" t="s">
        <v>37</v>
      </c>
      <c r="L10" s="66" t="s">
        <v>457</v>
      </c>
    </row>
    <row r="11" customFormat="false" ht="27" hidden="false" customHeight="true" outlineLevel="0" collapsed="false">
      <c r="A11" s="58" t="s">
        <v>39</v>
      </c>
      <c r="B11" s="59" t="s">
        <v>458</v>
      </c>
      <c r="C11" s="58" t="n">
        <v>4</v>
      </c>
      <c r="D11" s="55"/>
      <c r="E11" s="59" t="s">
        <v>459</v>
      </c>
      <c r="F11" s="23"/>
      <c r="G11" s="63" t="s">
        <v>448</v>
      </c>
      <c r="H11" s="64" t="s">
        <v>446</v>
      </c>
      <c r="I11" s="64" t="s">
        <v>446</v>
      </c>
      <c r="J11" s="64" t="s">
        <v>446</v>
      </c>
      <c r="K11" s="65" t="s">
        <v>39</v>
      </c>
      <c r="L11" s="66"/>
    </row>
    <row r="12" customFormat="false" ht="14.25" hidden="false" customHeight="true" outlineLevel="0" collapsed="false">
      <c r="A12" s="58" t="s">
        <v>37</v>
      </c>
      <c r="B12" s="59" t="s">
        <v>460</v>
      </c>
      <c r="C12" s="58" t="n">
        <v>1</v>
      </c>
      <c r="D12" s="55"/>
      <c r="E12" s="62" t="s">
        <v>461</v>
      </c>
      <c r="F12" s="23"/>
      <c r="G12" s="63" t="s">
        <v>448</v>
      </c>
      <c r="H12" s="64" t="s">
        <v>446</v>
      </c>
      <c r="I12" s="67" t="s">
        <v>444</v>
      </c>
      <c r="J12" s="67" t="s">
        <v>444</v>
      </c>
      <c r="K12" s="65" t="s">
        <v>55</v>
      </c>
      <c r="L12" s="66"/>
    </row>
    <row r="13" customFormat="false" ht="14.25" hidden="false" customHeight="true" outlineLevel="0" collapsed="false">
      <c r="A13" s="57"/>
      <c r="B13" s="55"/>
      <c r="C13" s="55"/>
      <c r="D13" s="55"/>
      <c r="E13" s="47" t="s">
        <v>462</v>
      </c>
      <c r="F13" s="23"/>
      <c r="G13" s="64" t="s">
        <v>446</v>
      </c>
      <c r="H13" s="67" t="s">
        <v>444</v>
      </c>
      <c r="I13" s="67" t="s">
        <v>444</v>
      </c>
      <c r="J13" s="68" t="s">
        <v>442</v>
      </c>
      <c r="K13" s="65" t="s">
        <v>52</v>
      </c>
      <c r="L13" s="66"/>
    </row>
    <row r="14" customFormat="false" ht="14.25" hidden="false" customHeight="true" outlineLevel="0" collapsed="false">
      <c r="A14" s="57"/>
      <c r="B14" s="55"/>
      <c r="C14" s="55"/>
      <c r="D14" s="55"/>
      <c r="E14" s="55"/>
      <c r="F14" s="23"/>
      <c r="G14" s="65" t="s">
        <v>449</v>
      </c>
      <c r="H14" s="65" t="s">
        <v>448</v>
      </c>
      <c r="I14" s="65" t="s">
        <v>446</v>
      </c>
      <c r="J14" s="65" t="s">
        <v>444</v>
      </c>
      <c r="K14" s="65"/>
      <c r="L14" s="66"/>
    </row>
    <row r="15" customFormat="false" ht="14.25" hidden="false" customHeight="true" outlineLevel="0" collapsed="false">
      <c r="A15" s="58" t="s">
        <v>463</v>
      </c>
      <c r="B15" s="59"/>
      <c r="C15" s="59"/>
      <c r="D15" s="55"/>
      <c r="E15" s="55"/>
      <c r="F15" s="23"/>
      <c r="G15" s="69" t="s">
        <v>464</v>
      </c>
      <c r="H15" s="69"/>
      <c r="I15" s="69"/>
      <c r="J15" s="69"/>
      <c r="K15" s="69"/>
      <c r="L15" s="66"/>
    </row>
    <row r="16" customFormat="false" ht="12.75" hidden="false" customHeight="true" outlineLevel="0" collapsed="false">
      <c r="A16" s="60" t="s">
        <v>439</v>
      </c>
      <c r="B16" s="52" t="s">
        <v>465</v>
      </c>
      <c r="C16" s="50" t="s">
        <v>452</v>
      </c>
      <c r="D16" s="55"/>
      <c r="E16" s="60" t="s">
        <v>466</v>
      </c>
      <c r="F16" s="23"/>
      <c r="G16" s="23"/>
      <c r="H16" s="23"/>
    </row>
    <row r="17" customFormat="false" ht="39" hidden="false" customHeight="true" outlineLevel="0" collapsed="false">
      <c r="A17" s="58" t="s">
        <v>52</v>
      </c>
      <c r="B17" s="59" t="s">
        <v>467</v>
      </c>
      <c r="C17" s="58" t="n">
        <v>10</v>
      </c>
      <c r="D17" s="55"/>
      <c r="E17" s="70" t="s">
        <v>127</v>
      </c>
      <c r="F17" s="23"/>
      <c r="G17" s="71" t="s">
        <v>468</v>
      </c>
      <c r="H17" s="72" t="s">
        <v>469</v>
      </c>
    </row>
    <row r="18" customFormat="false" ht="39" hidden="false" customHeight="true" outlineLevel="0" collapsed="false">
      <c r="A18" s="58" t="s">
        <v>55</v>
      </c>
      <c r="B18" s="59" t="s">
        <v>470</v>
      </c>
      <c r="C18" s="58" t="n">
        <v>7</v>
      </c>
      <c r="D18" s="55"/>
      <c r="E18" s="53" t="s">
        <v>31</v>
      </c>
      <c r="F18" s="23"/>
      <c r="G18" s="71" t="s">
        <v>471</v>
      </c>
      <c r="H18" s="72" t="s">
        <v>448</v>
      </c>
    </row>
    <row r="19" customFormat="false" ht="39" hidden="false" customHeight="true" outlineLevel="0" collapsed="false">
      <c r="A19" s="58" t="s">
        <v>39</v>
      </c>
      <c r="B19" s="59" t="s">
        <v>472</v>
      </c>
      <c r="C19" s="58" t="n">
        <v>4</v>
      </c>
      <c r="D19" s="55"/>
      <c r="E19" s="70" t="s">
        <v>113</v>
      </c>
      <c r="F19" s="23"/>
      <c r="G19" s="73" t="s">
        <v>473</v>
      </c>
      <c r="H19" s="74" t="s">
        <v>474</v>
      </c>
    </row>
    <row r="20" customFormat="false" ht="39" hidden="false" customHeight="true" outlineLevel="0" collapsed="false">
      <c r="A20" s="58" t="s">
        <v>37</v>
      </c>
      <c r="B20" s="59" t="s">
        <v>475</v>
      </c>
      <c r="C20" s="58" t="n">
        <v>1</v>
      </c>
      <c r="D20" s="55"/>
      <c r="E20" s="53" t="s">
        <v>476</v>
      </c>
      <c r="F20" s="23"/>
      <c r="G20" s="23"/>
      <c r="H20" s="23"/>
    </row>
    <row r="21" customFormat="false" ht="12.75" hidden="false" customHeight="true" outlineLevel="0" collapsed="false">
      <c r="A21" s="57"/>
      <c r="B21" s="55"/>
      <c r="C21" s="55"/>
      <c r="D21" s="55"/>
      <c r="E21" s="70" t="s">
        <v>477</v>
      </c>
      <c r="F21" s="23"/>
      <c r="G21" s="23"/>
      <c r="H21" s="23"/>
    </row>
    <row r="22" customFormat="false" ht="12.75" hidden="false" customHeight="true" outlineLevel="0" collapsed="false">
      <c r="A22" s="57"/>
      <c r="B22" s="55"/>
      <c r="C22" s="55"/>
      <c r="D22" s="55"/>
      <c r="E22" s="53" t="s">
        <v>478</v>
      </c>
      <c r="F22" s="23"/>
      <c r="G22" s="23"/>
      <c r="H22" s="23"/>
    </row>
    <row r="23" customFormat="false" ht="12.75" hidden="false" customHeight="true" outlineLevel="0" collapsed="false">
      <c r="A23" s="58" t="s">
        <v>479</v>
      </c>
      <c r="B23" s="51"/>
      <c r="C23" s="51"/>
      <c r="D23" s="55"/>
      <c r="E23" s="55"/>
      <c r="F23" s="23"/>
      <c r="G23" s="23"/>
      <c r="H23" s="23"/>
    </row>
    <row r="24" customFormat="false" ht="12.75" hidden="false" customHeight="true" outlineLevel="0" collapsed="false">
      <c r="A24" s="60" t="s">
        <v>439</v>
      </c>
      <c r="B24" s="52" t="s">
        <v>480</v>
      </c>
      <c r="C24" s="52" t="s">
        <v>452</v>
      </c>
      <c r="D24" s="55"/>
      <c r="E24" s="55"/>
      <c r="F24" s="23"/>
      <c r="G24" s="23"/>
      <c r="H24" s="23"/>
    </row>
    <row r="25" customFormat="false" ht="92.25" hidden="false" customHeight="true" outlineLevel="0" collapsed="false">
      <c r="A25" s="58" t="s">
        <v>52</v>
      </c>
      <c r="B25" s="59" t="s">
        <v>481</v>
      </c>
      <c r="C25" s="58" t="n">
        <v>10</v>
      </c>
      <c r="D25" s="55"/>
      <c r="E25" s="55"/>
      <c r="F25" s="23"/>
      <c r="G25" s="23"/>
      <c r="H25" s="23"/>
    </row>
    <row r="26" customFormat="false" ht="52.5" hidden="false" customHeight="true" outlineLevel="0" collapsed="false">
      <c r="A26" s="58" t="s">
        <v>55</v>
      </c>
      <c r="B26" s="59" t="s">
        <v>482</v>
      </c>
      <c r="C26" s="58" t="n">
        <v>7</v>
      </c>
      <c r="D26" s="55"/>
      <c r="E26" s="55"/>
      <c r="F26" s="23"/>
      <c r="G26" s="23"/>
      <c r="H26" s="23"/>
    </row>
    <row r="27" customFormat="false" ht="52.5" hidden="false" customHeight="true" outlineLevel="0" collapsed="false">
      <c r="A27" s="58" t="s">
        <v>39</v>
      </c>
      <c r="B27" s="59" t="s">
        <v>483</v>
      </c>
      <c r="C27" s="58" t="n">
        <v>4</v>
      </c>
      <c r="D27" s="55"/>
      <c r="E27" s="55"/>
      <c r="F27" s="23"/>
      <c r="G27" s="23"/>
      <c r="H27" s="23"/>
    </row>
    <row r="28" customFormat="false" ht="26.25" hidden="false" customHeight="true" outlineLevel="0" collapsed="false">
      <c r="A28" s="58" t="s">
        <v>37</v>
      </c>
      <c r="B28" s="59" t="s">
        <v>484</v>
      </c>
      <c r="C28" s="58" t="n">
        <v>1</v>
      </c>
      <c r="D28" s="55"/>
      <c r="E28" s="55"/>
      <c r="F28" s="23"/>
      <c r="G28" s="23"/>
      <c r="H28" s="23"/>
    </row>
    <row r="29" customFormat="false" ht="12.75" hidden="false" customHeight="true" outlineLevel="0" collapsed="false">
      <c r="A29" s="57"/>
      <c r="B29" s="55"/>
      <c r="C29" s="55"/>
      <c r="D29" s="55"/>
      <c r="E29" s="55"/>
      <c r="F29" s="23"/>
      <c r="G29" s="23"/>
      <c r="H29" s="23"/>
    </row>
    <row r="30" customFormat="false" ht="12.75" hidden="false" customHeight="true" outlineLevel="0" collapsed="false">
      <c r="A30" s="57"/>
      <c r="B30" s="55"/>
      <c r="C30" s="55"/>
      <c r="D30" s="55"/>
      <c r="E30" s="55"/>
      <c r="F30" s="23"/>
      <c r="G30" s="23"/>
      <c r="H30" s="23"/>
    </row>
    <row r="31" customFormat="false" ht="12.75" hidden="false" customHeight="true" outlineLevel="0" collapsed="false">
      <c r="A31" s="58" t="s">
        <v>485</v>
      </c>
      <c r="B31" s="55"/>
      <c r="C31" s="55"/>
      <c r="D31" s="55"/>
      <c r="E31" s="55"/>
      <c r="F31" s="23"/>
      <c r="G31" s="23"/>
      <c r="H31" s="23"/>
    </row>
    <row r="32" customFormat="false" ht="12.75" hidden="false" customHeight="true" outlineLevel="0" collapsed="false">
      <c r="A32" s="60" t="s">
        <v>439</v>
      </c>
      <c r="B32" s="52" t="s">
        <v>486</v>
      </c>
      <c r="C32" s="60" t="s">
        <v>452</v>
      </c>
      <c r="D32" s="55"/>
      <c r="E32" s="55"/>
      <c r="F32" s="23"/>
      <c r="G32" s="23"/>
      <c r="H32" s="23"/>
    </row>
    <row r="33" customFormat="false" ht="52.5" hidden="false" customHeight="true" outlineLevel="0" collapsed="false">
      <c r="A33" s="58" t="s">
        <v>52</v>
      </c>
      <c r="B33" s="75" t="s">
        <v>487</v>
      </c>
      <c r="C33" s="58" t="n">
        <v>10</v>
      </c>
      <c r="D33" s="55"/>
      <c r="E33" s="55"/>
      <c r="F33" s="23"/>
      <c r="G33" s="23"/>
      <c r="H33" s="23"/>
    </row>
    <row r="34" customFormat="false" ht="66" hidden="false" customHeight="true" outlineLevel="0" collapsed="false">
      <c r="A34" s="58" t="s">
        <v>55</v>
      </c>
      <c r="B34" s="75" t="s">
        <v>488</v>
      </c>
      <c r="C34" s="58" t="n">
        <v>7</v>
      </c>
      <c r="D34" s="55"/>
      <c r="E34" s="55"/>
      <c r="F34" s="23"/>
      <c r="G34" s="23"/>
      <c r="H34" s="23"/>
    </row>
    <row r="35" customFormat="false" ht="66" hidden="false" customHeight="true" outlineLevel="0" collapsed="false">
      <c r="A35" s="58" t="s">
        <v>39</v>
      </c>
      <c r="B35" s="75" t="s">
        <v>489</v>
      </c>
      <c r="C35" s="58" t="n">
        <v>4</v>
      </c>
      <c r="D35" s="55"/>
      <c r="E35" s="55"/>
      <c r="F35" s="23"/>
      <c r="G35" s="23"/>
      <c r="H35" s="23"/>
    </row>
    <row r="36" customFormat="false" ht="52.5" hidden="false" customHeight="true" outlineLevel="0" collapsed="false">
      <c r="A36" s="58" t="s">
        <v>37</v>
      </c>
      <c r="B36" s="75" t="s">
        <v>490</v>
      </c>
      <c r="C36" s="58" t="n">
        <v>1</v>
      </c>
      <c r="D36" s="55"/>
      <c r="E36" s="55"/>
      <c r="F36" s="23"/>
      <c r="G36" s="23"/>
      <c r="H36" s="23"/>
    </row>
    <row r="37" customFormat="false" ht="12.75" hidden="false" customHeight="true" outlineLevel="0" collapsed="false">
      <c r="A37" s="55"/>
      <c r="B37" s="55"/>
      <c r="C37" s="55"/>
      <c r="D37" s="55"/>
      <c r="E37" s="55"/>
      <c r="F37" s="23"/>
      <c r="G37" s="23"/>
      <c r="H37" s="23"/>
    </row>
    <row r="38" customFormat="false" ht="15.75" hidden="false" customHeight="true" outlineLevel="0" collapsed="false">
      <c r="A38" s="55"/>
      <c r="B38" s="55" t="s">
        <v>491</v>
      </c>
      <c r="C38" s="55"/>
      <c r="D38" s="55"/>
      <c r="E38" s="55"/>
      <c r="F38" s="23"/>
      <c r="G38" s="23"/>
      <c r="H38" s="23"/>
    </row>
    <row r="39" customFormat="false" ht="15.75" hidden="false" customHeight="true" outlineLevel="0" collapsed="false">
      <c r="A39" s="76" t="s">
        <v>492</v>
      </c>
      <c r="B39" s="55"/>
      <c r="C39" s="55"/>
      <c r="D39" s="55"/>
      <c r="E39" s="55"/>
      <c r="F39" s="23"/>
      <c r="G39" s="23"/>
      <c r="H39" s="23"/>
    </row>
    <row r="40" customFormat="false" ht="15.75" hidden="false" customHeight="true" outlineLevel="0" collapsed="false">
      <c r="A40" s="50" t="s">
        <v>493</v>
      </c>
      <c r="B40" s="52" t="s">
        <v>494</v>
      </c>
      <c r="C40" s="50" t="s">
        <v>495</v>
      </c>
      <c r="D40" s="50" t="s">
        <v>452</v>
      </c>
      <c r="E40" s="23"/>
      <c r="F40" s="23"/>
      <c r="G40" s="23"/>
      <c r="H40" s="23"/>
    </row>
    <row r="41" customFormat="false" ht="32.25" hidden="false" customHeight="true" outlineLevel="0" collapsed="false">
      <c r="A41" s="58" t="s">
        <v>35</v>
      </c>
      <c r="B41" s="59" t="s">
        <v>496</v>
      </c>
      <c r="C41" s="58" t="s">
        <v>444</v>
      </c>
      <c r="D41" s="58" t="n">
        <v>10</v>
      </c>
      <c r="E41" s="23"/>
      <c r="F41" s="23"/>
      <c r="G41" s="23"/>
      <c r="H41" s="23"/>
    </row>
    <row r="42" customFormat="false" ht="27.75" hidden="false" customHeight="true" outlineLevel="0" collapsed="false">
      <c r="A42" s="58" t="s">
        <v>130</v>
      </c>
      <c r="B42" s="59" t="s">
        <v>497</v>
      </c>
      <c r="C42" s="58" t="s">
        <v>446</v>
      </c>
      <c r="D42" s="58" t="n">
        <v>7</v>
      </c>
      <c r="E42" s="23"/>
      <c r="F42" s="23"/>
      <c r="G42" s="23"/>
      <c r="H42" s="23"/>
    </row>
    <row r="43" customFormat="false" ht="45" hidden="false" customHeight="true" outlineLevel="0" collapsed="false">
      <c r="A43" s="58" t="s">
        <v>116</v>
      </c>
      <c r="B43" s="59" t="s">
        <v>498</v>
      </c>
      <c r="C43" s="58" t="s">
        <v>448</v>
      </c>
      <c r="D43" s="58" t="n">
        <v>4</v>
      </c>
      <c r="E43" s="23"/>
      <c r="F43" s="23"/>
      <c r="G43" s="23"/>
      <c r="H43" s="23"/>
    </row>
    <row r="44" customFormat="false" ht="31.5" hidden="false" customHeight="true" outlineLevel="0" collapsed="false">
      <c r="A44" s="58" t="s">
        <v>50</v>
      </c>
      <c r="B44" s="59" t="s">
        <v>499</v>
      </c>
      <c r="C44" s="58" t="s">
        <v>500</v>
      </c>
      <c r="D44" s="58" t="n">
        <v>1</v>
      </c>
      <c r="E44" s="23"/>
      <c r="F44" s="23"/>
      <c r="G44" s="23"/>
      <c r="H44" s="23"/>
    </row>
    <row r="45" customFormat="false" ht="15.75" hidden="false" customHeight="true" outlineLevel="0" collapsed="false">
      <c r="A45" s="23"/>
      <c r="B45" s="23"/>
      <c r="C45" s="23"/>
      <c r="D45" s="23"/>
      <c r="E45" s="23"/>
      <c r="F45" s="23"/>
      <c r="G45" s="23"/>
      <c r="H45" s="23"/>
    </row>
    <row r="46" customFormat="false" ht="15.75" hidden="false" customHeight="true" outlineLevel="0" collapsed="false">
      <c r="A46" s="77" t="s">
        <v>501</v>
      </c>
      <c r="B46" s="23"/>
      <c r="C46" s="23"/>
      <c r="D46" s="23"/>
      <c r="E46" s="23"/>
      <c r="F46" s="23"/>
      <c r="G46" s="23"/>
      <c r="H46" s="23"/>
    </row>
    <row r="47" customFormat="false" ht="15.75" hidden="false" customHeight="true" outlineLevel="0" collapsed="false">
      <c r="A47" s="78" t="s">
        <v>502</v>
      </c>
      <c r="B47" s="52" t="s">
        <v>494</v>
      </c>
      <c r="C47" s="23"/>
      <c r="D47" s="23"/>
      <c r="E47" s="23"/>
      <c r="F47" s="23"/>
      <c r="G47" s="23"/>
      <c r="H47" s="23"/>
    </row>
    <row r="48" customFormat="false" ht="69.75" hidden="false" customHeight="true" outlineLevel="0" collapsed="false">
      <c r="A48" s="8" t="s">
        <v>474</v>
      </c>
      <c r="B48" s="75" t="s">
        <v>503</v>
      </c>
      <c r="C48" s="23"/>
      <c r="D48" s="23"/>
      <c r="E48" s="23"/>
      <c r="F48" s="23"/>
      <c r="G48" s="23"/>
      <c r="H48" s="23"/>
    </row>
    <row r="49" customFormat="false" ht="39" hidden="false" customHeight="true" outlineLevel="0" collapsed="false">
      <c r="A49" s="8" t="s">
        <v>504</v>
      </c>
      <c r="B49" s="75" t="s">
        <v>505</v>
      </c>
      <c r="C49" s="23"/>
      <c r="D49" s="23"/>
      <c r="E49" s="23"/>
      <c r="F49" s="23"/>
      <c r="G49" s="23"/>
      <c r="H49" s="23"/>
    </row>
    <row r="50" customFormat="false" ht="102" hidden="false" customHeight="true" outlineLevel="0" collapsed="false">
      <c r="A50" s="8" t="s">
        <v>506</v>
      </c>
      <c r="B50" s="75" t="s">
        <v>507</v>
      </c>
      <c r="C50" s="23"/>
      <c r="D50" s="23"/>
      <c r="E50" s="23"/>
      <c r="F50" s="23"/>
      <c r="G50" s="23"/>
      <c r="H50" s="23"/>
    </row>
    <row r="51" customFormat="false" ht="90.75" hidden="false" customHeight="true" outlineLevel="0" collapsed="false">
      <c r="A51" s="8" t="s">
        <v>508</v>
      </c>
      <c r="B51" s="75" t="s">
        <v>509</v>
      </c>
      <c r="C51" s="23"/>
      <c r="D51" s="23"/>
      <c r="E51" s="23"/>
      <c r="F51" s="23"/>
      <c r="G51" s="23"/>
      <c r="H51" s="23"/>
    </row>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mergeCells count="2">
    <mergeCell ref="L10:L15"/>
    <mergeCell ref="G15:K1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 r:id="rId9"/>
    <tablePart r:id="rId10"/>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71484375" defaultRowHeight="15.75" zeroHeight="false" outlineLevelRow="0" outlineLevelCol="0"/>
  <cols>
    <col collapsed="false" customWidth="true" hidden="false" outlineLevel="0" max="1" min="1" style="0" width="37.71"/>
  </cols>
  <sheetData>
    <row r="1" customFormat="false" ht="15.75" hidden="false" customHeight="false" outlineLevel="0" collapsed="false">
      <c r="A1" s="23"/>
    </row>
    <row r="27" customFormat="false" ht="15.75" hidden="false" customHeight="false" outlineLevel="0" collapsed="false">
      <c r="A27" s="79"/>
    </row>
  </sheetData>
  <printOptions headings="false" gridLines="true" gridLinesSet="true" horizontalCentered="true" verticalCentered="false"/>
  <pageMargins left="0.7" right="0.7" top="0.75" bottom="0.75" header="0.511811023622047" footer="0.511811023622047"/>
  <pageSetup paperSize="9" scale="100" fitToWidth="1" fitToHeight="1" pageOrder="overThenDown"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2025-01-29T15:33:49Z</dcterms:created>
  <dc:creator>User</dc:creator>
  <dc:description/>
  <dc:language>en-US</dc:language>
  <cp:lastModifiedBy>Utente guest</cp:lastModifiedBy>
  <dcterms:modified xsi:type="dcterms:W3CDTF">2026-09-25T10:14:18Z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